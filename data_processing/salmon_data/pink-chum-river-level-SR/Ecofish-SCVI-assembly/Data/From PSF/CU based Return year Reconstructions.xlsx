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MDriveMyDocuments\Chum\2020\"/>
    </mc:Choice>
  </mc:AlternateContent>
  <bookViews>
    <workbookView xWindow="0" yWindow="0" windowWidth="19200" windowHeight="6516"/>
  </bookViews>
  <sheets>
    <sheet name="Reconstruction" sheetId="1" r:id="rId1"/>
  </sheets>
  <externalReferences>
    <externalReference r:id="rId2"/>
    <externalReference r:id="rId3"/>
    <externalReference r:id="rId4"/>
  </externalReferences>
  <definedNames>
    <definedName name="_Regression_Out" hidden="1">#REF!</definedName>
    <definedName name="_Regression_X" hidden="1">#REF!</definedName>
    <definedName name="_Regression_Y" hidden="1">#REF!</definedName>
    <definedName name="Age_3">[2]brood_sa!$N$52</definedName>
    <definedName name="Age_4">[2]brood_sa!$O$52</definedName>
    <definedName name="Age_5">[2]brood_sa!$P$52</definedName>
    <definedName name="anscount" hidden="1">4</definedName>
    <definedName name="limcount" hidden="1">3</definedName>
    <definedName name="R_E_3YR">[2]brood_sa!$X$61</definedName>
    <definedName name="R_E_4YR">[2]brood_sa!$X$62</definedName>
    <definedName name="R_E_5YR">[2]brood_sa!$X$63</definedName>
    <definedName name="R_E_ALL">[2]brood_sa!$X$60</definedName>
    <definedName name="sencount" hidden="1">2</definedName>
    <definedName name="TABLE21A">'[3]1991'!#REF!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7" i="1" l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C14" i="1" l="1"/>
  <c r="D14" i="1" l="1"/>
  <c r="E14" i="1"/>
  <c r="G14" i="1"/>
  <c r="F14" i="1"/>
  <c r="F35" i="1" l="1"/>
  <c r="Y35" i="1"/>
  <c r="AX35" i="1"/>
  <c r="AF56" i="1"/>
  <c r="H35" i="1"/>
  <c r="X56" i="1"/>
  <c r="AI56" i="1"/>
  <c r="E35" i="1"/>
  <c r="E56" i="1"/>
  <c r="AK35" i="1"/>
  <c r="AK56" i="1"/>
  <c r="O56" i="1"/>
  <c r="O35" i="1"/>
  <c r="AW56" i="1"/>
  <c r="P35" i="1"/>
  <c r="AF35" i="1"/>
  <c r="S56" i="1"/>
  <c r="U56" i="1"/>
  <c r="P56" i="1"/>
  <c r="AI35" i="1"/>
  <c r="T56" i="1"/>
  <c r="Z35" i="1"/>
  <c r="AV56" i="1"/>
  <c r="AJ35" i="1"/>
  <c r="AJ56" i="1"/>
  <c r="J35" i="1"/>
  <c r="AP35" i="1"/>
  <c r="AY56" i="1"/>
  <c r="AY35" i="1"/>
  <c r="AA56" i="1"/>
  <c r="AQ56" i="1"/>
  <c r="H56" i="1"/>
  <c r="N56" i="1"/>
  <c r="N35" i="1"/>
  <c r="K35" i="1"/>
  <c r="AQ35" i="1"/>
  <c r="D35" i="1"/>
  <c r="D56" i="1"/>
  <c r="K56" i="1"/>
  <c r="AX56" i="1" l="1"/>
  <c r="G56" i="1"/>
  <c r="G35" i="1"/>
  <c r="V56" i="1"/>
  <c r="AG35" i="1"/>
  <c r="S35" i="1"/>
  <c r="Q35" i="1"/>
  <c r="W56" i="1"/>
  <c r="W35" i="1"/>
  <c r="AU56" i="1"/>
  <c r="AT35" i="1"/>
  <c r="AH35" i="1"/>
  <c r="AZ56" i="1"/>
  <c r="R56" i="1"/>
  <c r="J56" i="1"/>
  <c r="Z56" i="1"/>
  <c r="U35" i="1"/>
  <c r="M35" i="1"/>
  <c r="AO56" i="1"/>
  <c r="C56" i="1"/>
  <c r="C35" i="1"/>
  <c r="AR56" i="1"/>
  <c r="AW35" i="1"/>
  <c r="AM56" i="1"/>
  <c r="AM35" i="1"/>
  <c r="AG56" i="1"/>
  <c r="AA35" i="1"/>
  <c r="AT56" i="1"/>
  <c r="L35" i="1"/>
  <c r="Q56" i="1"/>
  <c r="AU35" i="1"/>
  <c r="I35" i="1"/>
  <c r="R35" i="1"/>
  <c r="X35" i="1"/>
  <c r="AV35" i="1"/>
  <c r="T35" i="1"/>
  <c r="M56" i="1"/>
  <c r="L56" i="1"/>
  <c r="AH56" i="1"/>
  <c r="AZ35" i="1"/>
  <c r="AP56" i="1"/>
  <c r="AO35" i="1"/>
  <c r="AR35" i="1"/>
  <c r="V35" i="1"/>
  <c r="F56" i="1"/>
  <c r="Y56" i="1"/>
  <c r="I56" i="1"/>
  <c r="AL56" i="1" l="1"/>
  <c r="AL35" i="1"/>
  <c r="AS56" i="1"/>
  <c r="AS35" i="1"/>
  <c r="AD56" i="1"/>
  <c r="AD35" i="1"/>
  <c r="BA56" i="1"/>
  <c r="BA35" i="1"/>
  <c r="AB56" i="1"/>
  <c r="AB35" i="1"/>
  <c r="AC56" i="1"/>
  <c r="AC35" i="1"/>
  <c r="AN56" i="1"/>
  <c r="AN35" i="1"/>
  <c r="BD56" i="1"/>
  <c r="BD35" i="1"/>
  <c r="AE56" i="1"/>
  <c r="AE35" i="1"/>
  <c r="BL56" i="1" l="1"/>
  <c r="BL35" i="1"/>
  <c r="BN56" i="1"/>
  <c r="BN35" i="1"/>
  <c r="BK56" i="1"/>
  <c r="BK35" i="1"/>
  <c r="BI56" i="1"/>
  <c r="BI35" i="1"/>
  <c r="BE56" i="1"/>
  <c r="BE35" i="1"/>
  <c r="BO56" i="1"/>
  <c r="BO35" i="1"/>
  <c r="BB56" i="1"/>
  <c r="BB35" i="1"/>
  <c r="BJ56" i="1"/>
  <c r="BJ35" i="1"/>
  <c r="BF56" i="1"/>
  <c r="BF35" i="1"/>
  <c r="BC56" i="1"/>
  <c r="BC35" i="1"/>
  <c r="BG56" i="1"/>
  <c r="BG35" i="1"/>
  <c r="BH56" i="1"/>
  <c r="BH35" i="1"/>
  <c r="BM56" i="1"/>
  <c r="BM35" i="1"/>
  <c r="C67" i="1" l="1"/>
  <c r="C66" i="1" s="1"/>
  <c r="D67" i="1"/>
  <c r="D66" i="1" s="1"/>
  <c r="E67" i="1"/>
  <c r="E66" i="1" s="1"/>
  <c r="F67" i="1"/>
  <c r="F66" i="1" s="1"/>
  <c r="G67" i="1"/>
  <c r="G66" i="1" s="1"/>
  <c r="H67" i="1"/>
  <c r="H66" i="1" s="1"/>
  <c r="I67" i="1"/>
  <c r="I66" i="1" s="1"/>
  <c r="J67" i="1"/>
  <c r="J66" i="1" s="1"/>
  <c r="K67" i="1"/>
  <c r="K66" i="1" s="1"/>
  <c r="L67" i="1"/>
  <c r="L66" i="1" s="1"/>
  <c r="M67" i="1"/>
  <c r="M66" i="1" s="1"/>
  <c r="N67" i="1"/>
  <c r="N66" i="1" s="1"/>
  <c r="O67" i="1"/>
  <c r="O66" i="1" s="1"/>
  <c r="P67" i="1"/>
  <c r="P66" i="1" s="1"/>
  <c r="Q67" i="1"/>
  <c r="Q66" i="1" s="1"/>
  <c r="R67" i="1"/>
  <c r="R66" i="1" s="1"/>
  <c r="S67" i="1"/>
  <c r="S66" i="1" s="1"/>
  <c r="T67" i="1"/>
  <c r="T66" i="1" s="1"/>
  <c r="U67" i="1"/>
  <c r="U66" i="1" s="1"/>
  <c r="V67" i="1"/>
  <c r="V66" i="1" s="1"/>
  <c r="W67" i="1"/>
  <c r="W66" i="1" s="1"/>
  <c r="X67" i="1"/>
  <c r="X66" i="1" s="1"/>
  <c r="Y67" i="1"/>
  <c r="Y66" i="1" s="1"/>
  <c r="Z67" i="1"/>
  <c r="Z66" i="1" s="1"/>
  <c r="AA67" i="1"/>
  <c r="AA66" i="1" s="1"/>
  <c r="AB67" i="1"/>
  <c r="AB66" i="1" s="1"/>
  <c r="AC67" i="1"/>
  <c r="AC66" i="1" s="1"/>
  <c r="AD67" i="1"/>
  <c r="AD66" i="1" s="1"/>
  <c r="AE67" i="1"/>
  <c r="AE66" i="1" s="1"/>
  <c r="AF67" i="1"/>
  <c r="AF66" i="1" s="1"/>
  <c r="AG67" i="1"/>
  <c r="AG66" i="1" s="1"/>
  <c r="AH67" i="1"/>
  <c r="AH66" i="1" s="1"/>
  <c r="AI67" i="1"/>
  <c r="AI66" i="1" s="1"/>
  <c r="AJ67" i="1"/>
  <c r="AJ66" i="1" s="1"/>
  <c r="AK67" i="1"/>
  <c r="AK66" i="1" s="1"/>
  <c r="AL67" i="1"/>
  <c r="AL66" i="1" s="1"/>
  <c r="AM67" i="1"/>
  <c r="AM66" i="1" s="1"/>
  <c r="AN67" i="1"/>
  <c r="AN66" i="1" s="1"/>
  <c r="AO67" i="1"/>
  <c r="AO66" i="1" s="1"/>
  <c r="AP67" i="1"/>
  <c r="AP66" i="1" s="1"/>
  <c r="AQ67" i="1"/>
  <c r="AQ66" i="1" s="1"/>
  <c r="AR67" i="1"/>
  <c r="AR66" i="1" s="1"/>
  <c r="AS67" i="1"/>
  <c r="AS66" i="1" s="1"/>
  <c r="AT67" i="1"/>
  <c r="AT66" i="1" s="1"/>
  <c r="AU67" i="1"/>
  <c r="AU66" i="1" s="1"/>
  <c r="AV67" i="1"/>
  <c r="AV66" i="1" s="1"/>
  <c r="AW67" i="1"/>
  <c r="AW66" i="1" s="1"/>
  <c r="AX67" i="1"/>
  <c r="AX66" i="1" s="1"/>
  <c r="AY67" i="1"/>
  <c r="AY66" i="1" s="1"/>
  <c r="AZ67" i="1"/>
  <c r="AZ66" i="1" s="1"/>
  <c r="BA67" i="1"/>
  <c r="BA66" i="1" s="1"/>
  <c r="BB67" i="1"/>
  <c r="BB66" i="1" s="1"/>
  <c r="BC67" i="1"/>
  <c r="BC66" i="1" s="1"/>
  <c r="BD67" i="1"/>
  <c r="BD66" i="1" s="1"/>
  <c r="BE67" i="1"/>
  <c r="BE66" i="1" s="1"/>
  <c r="BF67" i="1"/>
  <c r="BF66" i="1" s="1"/>
  <c r="BG67" i="1"/>
  <c r="BG66" i="1" s="1"/>
  <c r="BH67" i="1"/>
  <c r="BH66" i="1" s="1"/>
  <c r="BI67" i="1"/>
  <c r="BI66" i="1" s="1"/>
  <c r="BJ67" i="1"/>
  <c r="BJ66" i="1" s="1"/>
  <c r="BK67" i="1"/>
  <c r="BK66" i="1" s="1"/>
  <c r="BL67" i="1"/>
  <c r="BL66" i="1" s="1"/>
  <c r="BM67" i="1"/>
  <c r="BM66" i="1" s="1"/>
  <c r="BN67" i="1"/>
  <c r="BN66" i="1" s="1"/>
  <c r="BO67" i="1"/>
  <c r="BO66" i="1" s="1"/>
  <c r="C107" i="1"/>
  <c r="D87" i="1"/>
  <c r="D107" i="1" s="1"/>
  <c r="E87" i="1"/>
  <c r="F87" i="1"/>
  <c r="F107" i="1" s="1"/>
  <c r="G87" i="1"/>
  <c r="G107" i="1" s="1"/>
  <c r="H87" i="1"/>
  <c r="I87" i="1"/>
  <c r="J87" i="1"/>
  <c r="J107" i="1" s="1"/>
  <c r="K87" i="1"/>
  <c r="K107" i="1" s="1"/>
  <c r="L87" i="1"/>
  <c r="M87" i="1"/>
  <c r="N87" i="1"/>
  <c r="N107" i="1" s="1"/>
  <c r="O87" i="1"/>
  <c r="O107" i="1" s="1"/>
  <c r="P87" i="1"/>
  <c r="Q87" i="1"/>
  <c r="R87" i="1"/>
  <c r="R107" i="1" s="1"/>
  <c r="S87" i="1"/>
  <c r="S107" i="1" s="1"/>
  <c r="T87" i="1"/>
  <c r="T107" i="1" s="1"/>
  <c r="U87" i="1"/>
  <c r="V87" i="1"/>
  <c r="V107" i="1" s="1"/>
  <c r="W87" i="1"/>
  <c r="W107" i="1" s="1"/>
  <c r="X87" i="1"/>
  <c r="Y87" i="1"/>
  <c r="Z87" i="1"/>
  <c r="Z107" i="1" s="1"/>
  <c r="AA87" i="1"/>
  <c r="AB87" i="1"/>
  <c r="AC87" i="1"/>
  <c r="AD87" i="1"/>
  <c r="AD107" i="1" s="1"/>
  <c r="AE87" i="1"/>
  <c r="AE107" i="1" s="1"/>
  <c r="AF87" i="1"/>
  <c r="AG87" i="1"/>
  <c r="AH87" i="1"/>
  <c r="AH107" i="1" s="1"/>
  <c r="AI87" i="1"/>
  <c r="AI107" i="1" s="1"/>
  <c r="AJ87" i="1"/>
  <c r="AJ107" i="1" s="1"/>
  <c r="AK87" i="1"/>
  <c r="AL87" i="1"/>
  <c r="AL107" i="1" s="1"/>
  <c r="AM87" i="1"/>
  <c r="AM107" i="1" s="1"/>
  <c r="AN87" i="1"/>
  <c r="AO87" i="1"/>
  <c r="AP87" i="1"/>
  <c r="AP107" i="1" s="1"/>
  <c r="AQ87" i="1"/>
  <c r="AQ107" i="1" s="1"/>
  <c r="AR87" i="1"/>
  <c r="AS87" i="1"/>
  <c r="AT87" i="1"/>
  <c r="AT107" i="1" s="1"/>
  <c r="AU87" i="1"/>
  <c r="AU107" i="1" s="1"/>
  <c r="AV87" i="1"/>
  <c r="AW87" i="1"/>
  <c r="AX87" i="1"/>
  <c r="AX107" i="1" s="1"/>
  <c r="AY87" i="1"/>
  <c r="AY107" i="1" s="1"/>
  <c r="AZ87" i="1"/>
  <c r="AZ107" i="1" s="1"/>
  <c r="BA87" i="1"/>
  <c r="BB87" i="1"/>
  <c r="BB107" i="1" s="1"/>
  <c r="BC87" i="1"/>
  <c r="BC107" i="1" s="1"/>
  <c r="BD87" i="1"/>
  <c r="BE87" i="1"/>
  <c r="BF87" i="1"/>
  <c r="BF107" i="1" s="1"/>
  <c r="BG87" i="1"/>
  <c r="BH87" i="1"/>
  <c r="BI87" i="1"/>
  <c r="BJ87" i="1"/>
  <c r="BJ107" i="1" s="1"/>
  <c r="BK87" i="1"/>
  <c r="BK107" i="1" s="1"/>
  <c r="BL87" i="1"/>
  <c r="BM87" i="1"/>
  <c r="BN87" i="1"/>
  <c r="BN107" i="1" s="1"/>
  <c r="BO87" i="1"/>
  <c r="BO107" i="1" s="1"/>
  <c r="C88" i="1"/>
  <c r="C108" i="1" s="1"/>
  <c r="D88" i="1"/>
  <c r="E88" i="1"/>
  <c r="F88" i="1"/>
  <c r="F108" i="1" s="1"/>
  <c r="G88" i="1"/>
  <c r="H88" i="1"/>
  <c r="I88" i="1"/>
  <c r="J88" i="1"/>
  <c r="J108" i="1" s="1"/>
  <c r="K88" i="1"/>
  <c r="L88" i="1"/>
  <c r="M88" i="1"/>
  <c r="N88" i="1"/>
  <c r="N108" i="1" s="1"/>
  <c r="O88" i="1"/>
  <c r="P88" i="1"/>
  <c r="Q88" i="1"/>
  <c r="R88" i="1"/>
  <c r="R108" i="1" s="1"/>
  <c r="S88" i="1"/>
  <c r="S108" i="1" s="1"/>
  <c r="T88" i="1"/>
  <c r="U88" i="1"/>
  <c r="V88" i="1"/>
  <c r="V108" i="1" s="1"/>
  <c r="W88" i="1"/>
  <c r="X88" i="1"/>
  <c r="Y88" i="1"/>
  <c r="Z88" i="1"/>
  <c r="AA88" i="1"/>
  <c r="AB88" i="1"/>
  <c r="AC88" i="1"/>
  <c r="AD88" i="1"/>
  <c r="AD108" i="1" s="1"/>
  <c r="AE88" i="1"/>
  <c r="AF88" i="1"/>
  <c r="AG88" i="1"/>
  <c r="AH88" i="1"/>
  <c r="AH108" i="1" s="1"/>
  <c r="AI88" i="1"/>
  <c r="AI108" i="1" s="1"/>
  <c r="AJ88" i="1"/>
  <c r="AK88" i="1"/>
  <c r="AL88" i="1"/>
  <c r="AL108" i="1" s="1"/>
  <c r="AM88" i="1"/>
  <c r="AN88" i="1"/>
  <c r="AO88" i="1"/>
  <c r="AO108" i="1" s="1"/>
  <c r="AP88" i="1"/>
  <c r="AP108" i="1" s="1"/>
  <c r="AQ88" i="1"/>
  <c r="AR88" i="1"/>
  <c r="AS88" i="1"/>
  <c r="AT88" i="1"/>
  <c r="AT108" i="1" s="1"/>
  <c r="AU88" i="1"/>
  <c r="AV88" i="1"/>
  <c r="AW88" i="1"/>
  <c r="AX88" i="1"/>
  <c r="AX108" i="1" s="1"/>
  <c r="AY88" i="1"/>
  <c r="AY108" i="1" s="1"/>
  <c r="AZ88" i="1"/>
  <c r="BA88" i="1"/>
  <c r="BB88" i="1"/>
  <c r="BB108" i="1" s="1"/>
  <c r="BC88" i="1"/>
  <c r="BD88" i="1"/>
  <c r="BE88" i="1"/>
  <c r="BF88" i="1"/>
  <c r="BG88" i="1"/>
  <c r="BH88" i="1"/>
  <c r="BI88" i="1"/>
  <c r="BJ88" i="1"/>
  <c r="BJ108" i="1" s="1"/>
  <c r="BK88" i="1"/>
  <c r="BL88" i="1"/>
  <c r="BM88" i="1"/>
  <c r="BN88" i="1"/>
  <c r="BN108" i="1" s="1"/>
  <c r="BO88" i="1"/>
  <c r="BO108" i="1" s="1"/>
  <c r="C89" i="1"/>
  <c r="D89" i="1"/>
  <c r="E89" i="1"/>
  <c r="E109" i="1" s="1"/>
  <c r="F89" i="1"/>
  <c r="G89" i="1"/>
  <c r="H89" i="1"/>
  <c r="H109" i="1" s="1"/>
  <c r="I89" i="1"/>
  <c r="I109" i="1" s="1"/>
  <c r="J89" i="1"/>
  <c r="K89" i="1"/>
  <c r="L89" i="1"/>
  <c r="M89" i="1"/>
  <c r="M109" i="1" s="1"/>
  <c r="N89" i="1"/>
  <c r="O89" i="1"/>
  <c r="P89" i="1"/>
  <c r="P109" i="1" s="1"/>
  <c r="Q89" i="1"/>
  <c r="Q109" i="1" s="1"/>
  <c r="R89" i="1"/>
  <c r="R109" i="1" s="1"/>
  <c r="S89" i="1"/>
  <c r="T89" i="1"/>
  <c r="U89" i="1"/>
  <c r="U109" i="1" s="1"/>
  <c r="V89" i="1"/>
  <c r="W89" i="1"/>
  <c r="X89" i="1"/>
  <c r="X109" i="1" s="1"/>
  <c r="Y89" i="1"/>
  <c r="Z89" i="1"/>
  <c r="AA89" i="1"/>
  <c r="AB89" i="1"/>
  <c r="AC89" i="1"/>
  <c r="AC109" i="1" s="1"/>
  <c r="AD89" i="1"/>
  <c r="AE89" i="1"/>
  <c r="AF89" i="1"/>
  <c r="AF109" i="1" s="1"/>
  <c r="AG89" i="1"/>
  <c r="AG109" i="1" s="1"/>
  <c r="AH89" i="1"/>
  <c r="AH109" i="1" s="1"/>
  <c r="AI89" i="1"/>
  <c r="AJ89" i="1"/>
  <c r="AK89" i="1"/>
  <c r="AK109" i="1" s="1"/>
  <c r="AL89" i="1"/>
  <c r="AM89" i="1"/>
  <c r="AN89" i="1"/>
  <c r="AN109" i="1" s="1"/>
  <c r="AO89" i="1"/>
  <c r="AO109" i="1" s="1"/>
  <c r="AP89" i="1"/>
  <c r="AQ89" i="1"/>
  <c r="AR89" i="1"/>
  <c r="AR109" i="1" s="1"/>
  <c r="AS89" i="1"/>
  <c r="AS109" i="1" s="1"/>
  <c r="AT89" i="1"/>
  <c r="AU89" i="1"/>
  <c r="AV89" i="1"/>
  <c r="AV109" i="1" s="1"/>
  <c r="AW89" i="1"/>
  <c r="AW109" i="1" s="1"/>
  <c r="AX89" i="1"/>
  <c r="AX109" i="1" s="1"/>
  <c r="AY89" i="1"/>
  <c r="AZ89" i="1"/>
  <c r="BA89" i="1"/>
  <c r="BA109" i="1" s="1"/>
  <c r="BB89" i="1"/>
  <c r="BB109" i="1" s="1"/>
  <c r="BC89" i="1"/>
  <c r="BD89" i="1"/>
  <c r="BD109" i="1" s="1"/>
  <c r="BE89" i="1"/>
  <c r="BF89" i="1"/>
  <c r="BG89" i="1"/>
  <c r="BH89" i="1"/>
  <c r="BI89" i="1"/>
  <c r="BI109" i="1" s="1"/>
  <c r="BJ89" i="1"/>
  <c r="BK89" i="1"/>
  <c r="BL89" i="1"/>
  <c r="BL109" i="1" s="1"/>
  <c r="BM89" i="1"/>
  <c r="BM109" i="1" s="1"/>
  <c r="BN89" i="1"/>
  <c r="BN109" i="1" s="1"/>
  <c r="BO89" i="1"/>
  <c r="C90" i="1"/>
  <c r="C110" i="1" s="1"/>
  <c r="D90" i="1"/>
  <c r="D110" i="1" s="1"/>
  <c r="E90" i="1"/>
  <c r="F90" i="1"/>
  <c r="G90" i="1"/>
  <c r="G110" i="1" s="1"/>
  <c r="H90" i="1"/>
  <c r="I90" i="1"/>
  <c r="I110" i="1" s="1"/>
  <c r="J90" i="1"/>
  <c r="K90" i="1"/>
  <c r="K110" i="1" s="1"/>
  <c r="L90" i="1"/>
  <c r="L110" i="1" s="1"/>
  <c r="M90" i="1"/>
  <c r="M110" i="1" s="1"/>
  <c r="N90" i="1"/>
  <c r="O90" i="1"/>
  <c r="O110" i="1" s="1"/>
  <c r="P90" i="1"/>
  <c r="Q90" i="1"/>
  <c r="Q110" i="1" s="1"/>
  <c r="R90" i="1"/>
  <c r="S90" i="1"/>
  <c r="S110" i="1" s="1"/>
  <c r="T90" i="1"/>
  <c r="T110" i="1" s="1"/>
  <c r="U90" i="1"/>
  <c r="V90" i="1"/>
  <c r="W90" i="1"/>
  <c r="W110" i="1" s="1"/>
  <c r="X90" i="1"/>
  <c r="Y90" i="1"/>
  <c r="Y110" i="1" s="1"/>
  <c r="Z90" i="1"/>
  <c r="AA90" i="1"/>
  <c r="AA110" i="1" s="1"/>
  <c r="AB90" i="1"/>
  <c r="AB110" i="1" s="1"/>
  <c r="AC90" i="1"/>
  <c r="AD90" i="1"/>
  <c r="AE90" i="1"/>
  <c r="AE110" i="1" s="1"/>
  <c r="AF90" i="1"/>
  <c r="AG90" i="1"/>
  <c r="AG110" i="1" s="1"/>
  <c r="AH90" i="1"/>
  <c r="AI90" i="1"/>
  <c r="AI110" i="1" s="1"/>
  <c r="AJ90" i="1"/>
  <c r="AJ110" i="1" s="1"/>
  <c r="AK90" i="1"/>
  <c r="AL90" i="1"/>
  <c r="AM90" i="1"/>
  <c r="AM110" i="1" s="1"/>
  <c r="AN90" i="1"/>
  <c r="AO90" i="1"/>
  <c r="AO110" i="1" s="1"/>
  <c r="AP90" i="1"/>
  <c r="AQ90" i="1"/>
  <c r="AQ110" i="1" s="1"/>
  <c r="AR90" i="1"/>
  <c r="AR110" i="1" s="1"/>
  <c r="AS90" i="1"/>
  <c r="AT90" i="1"/>
  <c r="AU90" i="1"/>
  <c r="AU110" i="1" s="1"/>
  <c r="AV90" i="1"/>
  <c r="AW90" i="1"/>
  <c r="AW110" i="1" s="1"/>
  <c r="AX90" i="1"/>
  <c r="AY90" i="1"/>
  <c r="AY110" i="1" s="1"/>
  <c r="AZ90" i="1"/>
  <c r="AZ110" i="1" s="1"/>
  <c r="BA90" i="1"/>
  <c r="BB90" i="1"/>
  <c r="BC90" i="1"/>
  <c r="BC110" i="1" s="1"/>
  <c r="BD90" i="1"/>
  <c r="BE90" i="1"/>
  <c r="BE110" i="1" s="1"/>
  <c r="BF90" i="1"/>
  <c r="BG90" i="1"/>
  <c r="BG110" i="1" s="1"/>
  <c r="BH90" i="1"/>
  <c r="BH110" i="1" s="1"/>
  <c r="BI90" i="1"/>
  <c r="BJ90" i="1"/>
  <c r="BK90" i="1"/>
  <c r="BK110" i="1" s="1"/>
  <c r="BL90" i="1"/>
  <c r="BM90" i="1"/>
  <c r="BM110" i="1" s="1"/>
  <c r="BN90" i="1"/>
  <c r="BO90" i="1"/>
  <c r="BO110" i="1" s="1"/>
  <c r="C91" i="1"/>
  <c r="D91" i="1"/>
  <c r="D111" i="1" s="1"/>
  <c r="E91" i="1"/>
  <c r="F91" i="1"/>
  <c r="F111" i="1" s="1"/>
  <c r="G91" i="1"/>
  <c r="G111" i="1" s="1"/>
  <c r="H91" i="1"/>
  <c r="I91" i="1"/>
  <c r="J91" i="1"/>
  <c r="J111" i="1" s="1"/>
  <c r="K91" i="1"/>
  <c r="K111" i="1" s="1"/>
  <c r="L91" i="1"/>
  <c r="L111" i="1" s="1"/>
  <c r="M91" i="1"/>
  <c r="N91" i="1"/>
  <c r="N111" i="1" s="1"/>
  <c r="O91" i="1"/>
  <c r="O111" i="1" s="1"/>
  <c r="P91" i="1"/>
  <c r="Q91" i="1"/>
  <c r="R91" i="1"/>
  <c r="R111" i="1" s="1"/>
  <c r="S91" i="1"/>
  <c r="S111" i="1" s="1"/>
  <c r="T91" i="1"/>
  <c r="T111" i="1" s="1"/>
  <c r="U91" i="1"/>
  <c r="V91" i="1"/>
  <c r="V111" i="1" s="1"/>
  <c r="W91" i="1"/>
  <c r="X91" i="1"/>
  <c r="Y91" i="1"/>
  <c r="Z91" i="1"/>
  <c r="Z111" i="1" s="1"/>
  <c r="AA91" i="1"/>
  <c r="AA111" i="1" s="1"/>
  <c r="AB91" i="1"/>
  <c r="AC91" i="1"/>
  <c r="AD91" i="1"/>
  <c r="AD111" i="1" s="1"/>
  <c r="AE91" i="1"/>
  <c r="AE111" i="1" s="1"/>
  <c r="AF91" i="1"/>
  <c r="AF111" i="1" s="1"/>
  <c r="AG91" i="1"/>
  <c r="AH91" i="1"/>
  <c r="AH111" i="1" s="1"/>
  <c r="AI91" i="1"/>
  <c r="AJ91" i="1"/>
  <c r="AJ111" i="1" s="1"/>
  <c r="AK91" i="1"/>
  <c r="AL91" i="1"/>
  <c r="AL111" i="1" s="1"/>
  <c r="AM91" i="1"/>
  <c r="AM111" i="1" s="1"/>
  <c r="AN91" i="1"/>
  <c r="AO91" i="1"/>
  <c r="AP91" i="1"/>
  <c r="AP111" i="1" s="1"/>
  <c r="AQ91" i="1"/>
  <c r="AQ111" i="1" s="1"/>
  <c r="AR91" i="1"/>
  <c r="AR111" i="1" s="1"/>
  <c r="AS91" i="1"/>
  <c r="AT91" i="1"/>
  <c r="AT111" i="1" s="1"/>
  <c r="AU91" i="1"/>
  <c r="AU111" i="1" s="1"/>
  <c r="AV91" i="1"/>
  <c r="AW91" i="1"/>
  <c r="AX91" i="1"/>
  <c r="AX111" i="1" s="1"/>
  <c r="AY91" i="1"/>
  <c r="AY111" i="1" s="1"/>
  <c r="AZ91" i="1"/>
  <c r="AZ111" i="1" s="1"/>
  <c r="BA91" i="1"/>
  <c r="BB91" i="1"/>
  <c r="BB111" i="1" s="1"/>
  <c r="BC91" i="1"/>
  <c r="BD91" i="1"/>
  <c r="BE91" i="1"/>
  <c r="BF91" i="1"/>
  <c r="BF111" i="1" s="1"/>
  <c r="BG91" i="1"/>
  <c r="BG111" i="1" s="1"/>
  <c r="BH91" i="1"/>
  <c r="BI91" i="1"/>
  <c r="BJ91" i="1"/>
  <c r="BJ111" i="1" s="1"/>
  <c r="BK91" i="1"/>
  <c r="BK111" i="1" s="1"/>
  <c r="BL91" i="1"/>
  <c r="BL111" i="1" s="1"/>
  <c r="BM91" i="1"/>
  <c r="BN91" i="1"/>
  <c r="BN111" i="1" s="1"/>
  <c r="BO91" i="1"/>
  <c r="C92" i="1"/>
  <c r="C112" i="1" s="1"/>
  <c r="D92" i="1"/>
  <c r="E92" i="1"/>
  <c r="E112" i="1" s="1"/>
  <c r="F92" i="1"/>
  <c r="F112" i="1" s="1"/>
  <c r="G92" i="1"/>
  <c r="H92" i="1"/>
  <c r="I92" i="1"/>
  <c r="I112" i="1" s="1"/>
  <c r="J92" i="1"/>
  <c r="J112" i="1" s="1"/>
  <c r="K92" i="1"/>
  <c r="K112" i="1" s="1"/>
  <c r="L92" i="1"/>
  <c r="M92" i="1"/>
  <c r="M112" i="1" s="1"/>
  <c r="N92" i="1"/>
  <c r="N112" i="1" s="1"/>
  <c r="O92" i="1"/>
  <c r="P92" i="1"/>
  <c r="Q92" i="1"/>
  <c r="Q112" i="1" s="1"/>
  <c r="R92" i="1"/>
  <c r="R112" i="1" s="1"/>
  <c r="S92" i="1"/>
  <c r="S112" i="1" s="1"/>
  <c r="T92" i="1"/>
  <c r="U92" i="1"/>
  <c r="U112" i="1" s="1"/>
  <c r="V92" i="1"/>
  <c r="W92" i="1"/>
  <c r="X92" i="1"/>
  <c r="Y92" i="1"/>
  <c r="Y112" i="1" s="1"/>
  <c r="Z92" i="1"/>
  <c r="Z112" i="1" s="1"/>
  <c r="AA92" i="1"/>
  <c r="AB92" i="1"/>
  <c r="AC92" i="1"/>
  <c r="AC112" i="1" s="1"/>
  <c r="AD92" i="1"/>
  <c r="AD112" i="1" s="1"/>
  <c r="AE92" i="1"/>
  <c r="AE112" i="1" s="1"/>
  <c r="AF92" i="1"/>
  <c r="AG92" i="1"/>
  <c r="AG112" i="1" s="1"/>
  <c r="AH92" i="1"/>
  <c r="AH112" i="1" s="1"/>
  <c r="AI92" i="1"/>
  <c r="AI112" i="1" s="1"/>
  <c r="AJ92" i="1"/>
  <c r="AK92" i="1"/>
  <c r="AK112" i="1" s="1"/>
  <c r="AL92" i="1"/>
  <c r="AL112" i="1" s="1"/>
  <c r="AM92" i="1"/>
  <c r="AN92" i="1"/>
  <c r="AO92" i="1"/>
  <c r="AO112" i="1" s="1"/>
  <c r="AP92" i="1"/>
  <c r="AP112" i="1" s="1"/>
  <c r="AQ92" i="1"/>
  <c r="AQ112" i="1" s="1"/>
  <c r="AR92" i="1"/>
  <c r="AS92" i="1"/>
  <c r="AS112" i="1" s="1"/>
  <c r="AT92" i="1"/>
  <c r="AT112" i="1" s="1"/>
  <c r="AU92" i="1"/>
  <c r="AV92" i="1"/>
  <c r="AW92" i="1"/>
  <c r="AW112" i="1" s="1"/>
  <c r="AX92" i="1"/>
  <c r="AX112" i="1" s="1"/>
  <c r="AY92" i="1"/>
  <c r="AY112" i="1" s="1"/>
  <c r="AZ92" i="1"/>
  <c r="BA92" i="1"/>
  <c r="BA112" i="1" s="1"/>
  <c r="BB92" i="1"/>
  <c r="BB112" i="1" s="1"/>
  <c r="BC92" i="1"/>
  <c r="BD92" i="1"/>
  <c r="BE92" i="1"/>
  <c r="BE112" i="1" s="1"/>
  <c r="BF92" i="1"/>
  <c r="BF112" i="1" s="1"/>
  <c r="BG92" i="1"/>
  <c r="BH92" i="1"/>
  <c r="BI92" i="1"/>
  <c r="BI112" i="1" s="1"/>
  <c r="BJ92" i="1"/>
  <c r="BJ112" i="1" s="1"/>
  <c r="BK92" i="1"/>
  <c r="BK112" i="1" s="1"/>
  <c r="BL92" i="1"/>
  <c r="BM92" i="1"/>
  <c r="BM112" i="1" s="1"/>
  <c r="BN92" i="1"/>
  <c r="BO92" i="1"/>
  <c r="BO112" i="1" s="1"/>
  <c r="C93" i="1"/>
  <c r="D93" i="1"/>
  <c r="D113" i="1" s="1"/>
  <c r="E93" i="1"/>
  <c r="E113" i="1" s="1"/>
  <c r="F93" i="1"/>
  <c r="G93" i="1"/>
  <c r="H93" i="1"/>
  <c r="H113" i="1" s="1"/>
  <c r="I93" i="1"/>
  <c r="I113" i="1" s="1"/>
  <c r="J93" i="1"/>
  <c r="J113" i="1" s="1"/>
  <c r="K93" i="1"/>
  <c r="L93" i="1"/>
  <c r="L113" i="1" s="1"/>
  <c r="M93" i="1"/>
  <c r="M113" i="1" s="1"/>
  <c r="N93" i="1"/>
  <c r="O93" i="1"/>
  <c r="P93" i="1"/>
  <c r="P113" i="1" s="1"/>
  <c r="Q93" i="1"/>
  <c r="Q113" i="1" s="1"/>
  <c r="R93" i="1"/>
  <c r="R113" i="1" s="1"/>
  <c r="S93" i="1"/>
  <c r="T93" i="1"/>
  <c r="T113" i="1" s="1"/>
  <c r="U93" i="1"/>
  <c r="V93" i="1"/>
  <c r="W93" i="1"/>
  <c r="X93" i="1"/>
  <c r="X113" i="1" s="1"/>
  <c r="Y93" i="1"/>
  <c r="Y113" i="1" s="1"/>
  <c r="Z93" i="1"/>
  <c r="AA93" i="1"/>
  <c r="AB93" i="1"/>
  <c r="AB113" i="1" s="1"/>
  <c r="AC93" i="1"/>
  <c r="AC113" i="1" s="1"/>
  <c r="AD93" i="1"/>
  <c r="AD113" i="1" s="1"/>
  <c r="AE93" i="1"/>
  <c r="AF93" i="1"/>
  <c r="AF113" i="1" s="1"/>
  <c r="AG93" i="1"/>
  <c r="AG113" i="1" s="1"/>
  <c r="AH93" i="1"/>
  <c r="AH113" i="1" s="1"/>
  <c r="AI93" i="1"/>
  <c r="AJ93" i="1"/>
  <c r="AJ113" i="1" s="1"/>
  <c r="AK93" i="1"/>
  <c r="AK113" i="1" s="1"/>
  <c r="AL93" i="1"/>
  <c r="AM93" i="1"/>
  <c r="AN93" i="1"/>
  <c r="AN113" i="1" s="1"/>
  <c r="AO93" i="1"/>
  <c r="AO113" i="1" s="1"/>
  <c r="AP93" i="1"/>
  <c r="AP113" i="1" s="1"/>
  <c r="AQ93" i="1"/>
  <c r="AR93" i="1"/>
  <c r="AR113" i="1" s="1"/>
  <c r="AS93" i="1"/>
  <c r="AS113" i="1" s="1"/>
  <c r="AT93" i="1"/>
  <c r="AU93" i="1"/>
  <c r="AV93" i="1"/>
  <c r="AV113" i="1" s="1"/>
  <c r="AW93" i="1"/>
  <c r="AW113" i="1" s="1"/>
  <c r="AX93" i="1"/>
  <c r="AX113" i="1" s="1"/>
  <c r="AY93" i="1"/>
  <c r="AZ93" i="1"/>
  <c r="AZ113" i="1" s="1"/>
  <c r="BA93" i="1"/>
  <c r="BA113" i="1" s="1"/>
  <c r="BB93" i="1"/>
  <c r="BC93" i="1"/>
  <c r="BD93" i="1"/>
  <c r="BD113" i="1" s="1"/>
  <c r="BE93" i="1"/>
  <c r="BE113" i="1" s="1"/>
  <c r="BF93" i="1"/>
  <c r="BG93" i="1"/>
  <c r="BH93" i="1"/>
  <c r="BH113" i="1" s="1"/>
  <c r="BI93" i="1"/>
  <c r="BI113" i="1" s="1"/>
  <c r="BJ93" i="1"/>
  <c r="BJ113" i="1" s="1"/>
  <c r="BK93" i="1"/>
  <c r="BL93" i="1"/>
  <c r="BL113" i="1" s="1"/>
  <c r="BM93" i="1"/>
  <c r="BN93" i="1"/>
  <c r="BN113" i="1" s="1"/>
  <c r="BO93" i="1"/>
  <c r="C94" i="1"/>
  <c r="C114" i="1" s="1"/>
  <c r="D94" i="1"/>
  <c r="D114" i="1" s="1"/>
  <c r="E94" i="1"/>
  <c r="E114" i="1" s="1"/>
  <c r="F94" i="1"/>
  <c r="G94" i="1"/>
  <c r="G114" i="1" s="1"/>
  <c r="H94" i="1"/>
  <c r="H114" i="1" s="1"/>
  <c r="I94" i="1"/>
  <c r="I114" i="1" s="1"/>
  <c r="J94" i="1"/>
  <c r="K94" i="1"/>
  <c r="L94" i="1"/>
  <c r="L114" i="1" s="1"/>
  <c r="M94" i="1"/>
  <c r="M114" i="1" s="1"/>
  <c r="N94" i="1"/>
  <c r="O94" i="1"/>
  <c r="O114" i="1" s="1"/>
  <c r="P94" i="1"/>
  <c r="P114" i="1" s="1"/>
  <c r="Q94" i="1"/>
  <c r="Q114" i="1" s="1"/>
  <c r="R94" i="1"/>
  <c r="S94" i="1"/>
  <c r="S114" i="1" s="1"/>
  <c r="T94" i="1"/>
  <c r="T114" i="1" s="1"/>
  <c r="U94" i="1"/>
  <c r="U114" i="1" s="1"/>
  <c r="V94" i="1"/>
  <c r="W94" i="1"/>
  <c r="W114" i="1" s="1"/>
  <c r="X94" i="1"/>
  <c r="X114" i="1" s="1"/>
  <c r="Y94" i="1"/>
  <c r="Y114" i="1" s="1"/>
  <c r="Z94" i="1"/>
  <c r="AA94" i="1"/>
  <c r="AA114" i="1" s="1"/>
  <c r="AB94" i="1"/>
  <c r="AB114" i="1" s="1"/>
  <c r="AC94" i="1"/>
  <c r="AC114" i="1" s="1"/>
  <c r="AD94" i="1"/>
  <c r="AE94" i="1"/>
  <c r="AF94" i="1"/>
  <c r="AF114" i="1" s="1"/>
  <c r="AG94" i="1"/>
  <c r="AG114" i="1" s="1"/>
  <c r="AH94" i="1"/>
  <c r="AI94" i="1"/>
  <c r="AI114" i="1" s="1"/>
  <c r="AJ94" i="1"/>
  <c r="AJ114" i="1" s="1"/>
  <c r="AK94" i="1"/>
  <c r="AK114" i="1" s="1"/>
  <c r="AL94" i="1"/>
  <c r="AM94" i="1"/>
  <c r="AM114" i="1" s="1"/>
  <c r="AN94" i="1"/>
  <c r="AN114" i="1" s="1"/>
  <c r="AO94" i="1"/>
  <c r="AO114" i="1" s="1"/>
  <c r="AP94" i="1"/>
  <c r="AQ94" i="1"/>
  <c r="AQ114" i="1" s="1"/>
  <c r="AR94" i="1"/>
  <c r="AR114" i="1" s="1"/>
  <c r="AS94" i="1"/>
  <c r="AS114" i="1" s="1"/>
  <c r="AT94" i="1"/>
  <c r="AU94" i="1"/>
  <c r="AV94" i="1"/>
  <c r="AW94" i="1"/>
  <c r="AW114" i="1" s="1"/>
  <c r="AX94" i="1"/>
  <c r="AY94" i="1"/>
  <c r="AY114" i="1" s="1"/>
  <c r="AZ94" i="1"/>
  <c r="AZ114" i="1" s="1"/>
  <c r="BA94" i="1"/>
  <c r="BA114" i="1" s="1"/>
  <c r="BB94" i="1"/>
  <c r="BC94" i="1"/>
  <c r="BC114" i="1" s="1"/>
  <c r="BD94" i="1"/>
  <c r="BD114" i="1" s="1"/>
  <c r="BE94" i="1"/>
  <c r="BE114" i="1" s="1"/>
  <c r="BF94" i="1"/>
  <c r="BG94" i="1"/>
  <c r="BH94" i="1"/>
  <c r="BH114" i="1" s="1"/>
  <c r="BI94" i="1"/>
  <c r="BI114" i="1" s="1"/>
  <c r="BJ94" i="1"/>
  <c r="BK94" i="1"/>
  <c r="BK114" i="1" s="1"/>
  <c r="BL94" i="1"/>
  <c r="BM94" i="1"/>
  <c r="BM114" i="1" s="1"/>
  <c r="BN94" i="1"/>
  <c r="BO94" i="1"/>
  <c r="BO114" i="1" s="1"/>
  <c r="C95" i="1"/>
  <c r="C115" i="1" s="1"/>
  <c r="D95" i="1"/>
  <c r="D115" i="1" s="1"/>
  <c r="E95" i="1"/>
  <c r="F95" i="1"/>
  <c r="F115" i="1" s="1"/>
  <c r="G95" i="1"/>
  <c r="G115" i="1" s="1"/>
  <c r="H95" i="1"/>
  <c r="H115" i="1" s="1"/>
  <c r="I95" i="1"/>
  <c r="J95" i="1"/>
  <c r="K95" i="1"/>
  <c r="K115" i="1" s="1"/>
  <c r="L95" i="1"/>
  <c r="L115" i="1" s="1"/>
  <c r="M95" i="1"/>
  <c r="N95" i="1"/>
  <c r="N115" i="1" s="1"/>
  <c r="O95" i="1"/>
  <c r="O115" i="1" s="1"/>
  <c r="P95" i="1"/>
  <c r="P115" i="1" s="1"/>
  <c r="Q95" i="1"/>
  <c r="R95" i="1"/>
  <c r="R115" i="1" s="1"/>
  <c r="S95" i="1"/>
  <c r="S115" i="1" s="1"/>
  <c r="T95" i="1"/>
  <c r="T115" i="1" s="1"/>
  <c r="U95" i="1"/>
  <c r="V95" i="1"/>
  <c r="V115" i="1" s="1"/>
  <c r="W95" i="1"/>
  <c r="W115" i="1" s="1"/>
  <c r="X95" i="1"/>
  <c r="X115" i="1" s="1"/>
  <c r="Y95" i="1"/>
  <c r="Z95" i="1"/>
  <c r="Z115" i="1" s="1"/>
  <c r="AA95" i="1"/>
  <c r="AA115" i="1" s="1"/>
  <c r="AB95" i="1"/>
  <c r="AB115" i="1" s="1"/>
  <c r="AC95" i="1"/>
  <c r="AD95" i="1"/>
  <c r="AE95" i="1"/>
  <c r="AE115" i="1" s="1"/>
  <c r="AF95" i="1"/>
  <c r="AF115" i="1" s="1"/>
  <c r="AG95" i="1"/>
  <c r="AH95" i="1"/>
  <c r="AH115" i="1" s="1"/>
  <c r="AI95" i="1"/>
  <c r="AI115" i="1" s="1"/>
  <c r="AJ95" i="1"/>
  <c r="AK95" i="1"/>
  <c r="AL95" i="1"/>
  <c r="AL115" i="1" s="1"/>
  <c r="AM95" i="1"/>
  <c r="AM115" i="1" s="1"/>
  <c r="AN95" i="1"/>
  <c r="AN115" i="1" s="1"/>
  <c r="AO95" i="1"/>
  <c r="AP95" i="1"/>
  <c r="AP115" i="1" s="1"/>
  <c r="AQ95" i="1"/>
  <c r="AQ115" i="1" s="1"/>
  <c r="AR95" i="1"/>
  <c r="AR115" i="1" s="1"/>
  <c r="AS95" i="1"/>
  <c r="AT95" i="1"/>
  <c r="AT115" i="1" s="1"/>
  <c r="AU95" i="1"/>
  <c r="AU115" i="1" s="1"/>
  <c r="AV95" i="1"/>
  <c r="AW95" i="1"/>
  <c r="AX95" i="1"/>
  <c r="AX115" i="1" s="1"/>
  <c r="AY95" i="1"/>
  <c r="AY115" i="1" s="1"/>
  <c r="AZ95" i="1"/>
  <c r="AZ115" i="1" s="1"/>
  <c r="BA95" i="1"/>
  <c r="BB95" i="1"/>
  <c r="BB115" i="1" s="1"/>
  <c r="BC95" i="1"/>
  <c r="BC115" i="1" s="1"/>
  <c r="BD95" i="1"/>
  <c r="BE95" i="1"/>
  <c r="BF95" i="1"/>
  <c r="BF115" i="1" s="1"/>
  <c r="BG95" i="1"/>
  <c r="BG115" i="1" s="1"/>
  <c r="BH95" i="1"/>
  <c r="BH115" i="1" s="1"/>
  <c r="BI95" i="1"/>
  <c r="BJ95" i="1"/>
  <c r="BJ115" i="1" s="1"/>
  <c r="BK95" i="1"/>
  <c r="BK115" i="1" s="1"/>
  <c r="BL95" i="1"/>
  <c r="BM95" i="1"/>
  <c r="BN95" i="1"/>
  <c r="BN115" i="1" s="1"/>
  <c r="BO95" i="1"/>
  <c r="BO115" i="1" s="1"/>
  <c r="C96" i="1"/>
  <c r="C116" i="1" s="1"/>
  <c r="D96" i="1"/>
  <c r="E96" i="1"/>
  <c r="F96" i="1"/>
  <c r="F116" i="1" s="1"/>
  <c r="G96" i="1"/>
  <c r="G116" i="1" s="1"/>
  <c r="H96" i="1"/>
  <c r="I96" i="1"/>
  <c r="I116" i="1" s="1"/>
  <c r="J96" i="1"/>
  <c r="J116" i="1" s="1"/>
  <c r="K96" i="1"/>
  <c r="L96" i="1"/>
  <c r="M96" i="1"/>
  <c r="M116" i="1" s="1"/>
  <c r="N96" i="1"/>
  <c r="N116" i="1" s="1"/>
  <c r="O96" i="1"/>
  <c r="P96" i="1"/>
  <c r="Q96" i="1"/>
  <c r="Q116" i="1" s="1"/>
  <c r="R96" i="1"/>
  <c r="R116" i="1" s="1"/>
  <c r="S96" i="1"/>
  <c r="S116" i="1" s="1"/>
  <c r="T96" i="1"/>
  <c r="U96" i="1"/>
  <c r="U116" i="1" s="1"/>
  <c r="V96" i="1"/>
  <c r="V116" i="1" s="1"/>
  <c r="W96" i="1"/>
  <c r="W116" i="1" s="1"/>
  <c r="X96" i="1"/>
  <c r="Y96" i="1"/>
  <c r="Y116" i="1" s="1"/>
  <c r="Z96" i="1"/>
  <c r="Z116" i="1" s="1"/>
  <c r="AA96" i="1"/>
  <c r="AB96" i="1"/>
  <c r="AC96" i="1"/>
  <c r="AC116" i="1" s="1"/>
  <c r="AD96" i="1"/>
  <c r="AD116" i="1" s="1"/>
  <c r="AE96" i="1"/>
  <c r="AE116" i="1" s="1"/>
  <c r="AF96" i="1"/>
  <c r="AG96" i="1"/>
  <c r="AH96" i="1"/>
  <c r="AH116" i="1" s="1"/>
  <c r="AI96" i="1"/>
  <c r="AJ96" i="1"/>
  <c r="AK96" i="1"/>
  <c r="AK116" i="1" s="1"/>
  <c r="AL96" i="1"/>
  <c r="AL116" i="1" s="1"/>
  <c r="AM96" i="1"/>
  <c r="AM116" i="1" s="1"/>
  <c r="AN96" i="1"/>
  <c r="AO96" i="1"/>
  <c r="AO116" i="1" s="1"/>
  <c r="AP96" i="1"/>
  <c r="AP116" i="1" s="1"/>
  <c r="AQ96" i="1"/>
  <c r="AR96" i="1"/>
  <c r="AS96" i="1"/>
  <c r="AS116" i="1" s="1"/>
  <c r="AT96" i="1"/>
  <c r="AT116" i="1" s="1"/>
  <c r="AU96" i="1"/>
  <c r="AU116" i="1" s="1"/>
  <c r="AV96" i="1"/>
  <c r="AW96" i="1"/>
  <c r="AW116" i="1" s="1"/>
  <c r="AX96" i="1"/>
  <c r="AX116" i="1" s="1"/>
  <c r="AY96" i="1"/>
  <c r="AZ96" i="1"/>
  <c r="BA96" i="1"/>
  <c r="BA116" i="1" s="1"/>
  <c r="BB96" i="1"/>
  <c r="BB116" i="1" s="1"/>
  <c r="BC96" i="1"/>
  <c r="BD96" i="1"/>
  <c r="BE96" i="1"/>
  <c r="BF96" i="1"/>
  <c r="BF116" i="1" s="1"/>
  <c r="BG96" i="1"/>
  <c r="BH96" i="1"/>
  <c r="BI96" i="1"/>
  <c r="BI116" i="1" s="1"/>
  <c r="BJ96" i="1"/>
  <c r="BJ116" i="1" s="1"/>
  <c r="BK96" i="1"/>
  <c r="BK116" i="1" s="1"/>
  <c r="BL96" i="1"/>
  <c r="BM96" i="1"/>
  <c r="BM116" i="1" s="1"/>
  <c r="BN96" i="1"/>
  <c r="BN116" i="1" s="1"/>
  <c r="BO96" i="1"/>
  <c r="C97" i="1"/>
  <c r="D97" i="1"/>
  <c r="D117" i="1" s="1"/>
  <c r="E97" i="1"/>
  <c r="E117" i="1" s="1"/>
  <c r="F97" i="1"/>
  <c r="G97" i="1"/>
  <c r="H97" i="1"/>
  <c r="H117" i="1" s="1"/>
  <c r="I97" i="1"/>
  <c r="I117" i="1" s="1"/>
  <c r="J97" i="1"/>
  <c r="J117" i="1" s="1"/>
  <c r="K97" i="1"/>
  <c r="L97" i="1"/>
  <c r="L117" i="1" s="1"/>
  <c r="M97" i="1"/>
  <c r="M117" i="1" s="1"/>
  <c r="N97" i="1"/>
  <c r="O97" i="1"/>
  <c r="P97" i="1"/>
  <c r="P117" i="1" s="1"/>
  <c r="Q97" i="1"/>
  <c r="Q117" i="1" s="1"/>
  <c r="R97" i="1"/>
  <c r="S97" i="1"/>
  <c r="T97" i="1"/>
  <c r="T117" i="1" s="1"/>
  <c r="U97" i="1"/>
  <c r="U117" i="1" s="1"/>
  <c r="V97" i="1"/>
  <c r="V117" i="1" s="1"/>
  <c r="W97" i="1"/>
  <c r="X97" i="1"/>
  <c r="X117" i="1" s="1"/>
  <c r="Y97" i="1"/>
  <c r="Y117" i="1" s="1"/>
  <c r="Z97" i="1"/>
  <c r="AA97" i="1"/>
  <c r="AB97" i="1"/>
  <c r="AB117" i="1" s="1"/>
  <c r="AC97" i="1"/>
  <c r="AC117" i="1" s="1"/>
  <c r="AD97" i="1"/>
  <c r="AD117" i="1" s="1"/>
  <c r="AE97" i="1"/>
  <c r="AF97" i="1"/>
  <c r="AG97" i="1"/>
  <c r="AG117" i="1" s="1"/>
  <c r="AH97" i="1"/>
  <c r="AI97" i="1"/>
  <c r="AJ97" i="1"/>
  <c r="AJ117" i="1" s="1"/>
  <c r="AK97" i="1"/>
  <c r="AK117" i="1" s="1"/>
  <c r="AL97" i="1"/>
  <c r="AM97" i="1"/>
  <c r="AN97" i="1"/>
  <c r="AN117" i="1" s="1"/>
  <c r="AO97" i="1"/>
  <c r="AO117" i="1" s="1"/>
  <c r="AP97" i="1"/>
  <c r="AQ97" i="1"/>
  <c r="AR97" i="1"/>
  <c r="AR117" i="1" s="1"/>
  <c r="AS97" i="1"/>
  <c r="AS117" i="1" s="1"/>
  <c r="AT97" i="1"/>
  <c r="AU97" i="1"/>
  <c r="AV97" i="1"/>
  <c r="AV117" i="1" s="1"/>
  <c r="AW97" i="1"/>
  <c r="AW117" i="1" s="1"/>
  <c r="AX97" i="1"/>
  <c r="AY97" i="1"/>
  <c r="AZ97" i="1"/>
  <c r="AZ117" i="1" s="1"/>
  <c r="BA97" i="1"/>
  <c r="BA117" i="1" s="1"/>
  <c r="BB97" i="1"/>
  <c r="BC97" i="1"/>
  <c r="BD97" i="1"/>
  <c r="BD117" i="1" s="1"/>
  <c r="BE97" i="1"/>
  <c r="BE117" i="1" s="1"/>
  <c r="BF97" i="1"/>
  <c r="BF117" i="1" s="1"/>
  <c r="BG97" i="1"/>
  <c r="BH97" i="1"/>
  <c r="BH117" i="1" s="1"/>
  <c r="BI97" i="1"/>
  <c r="BI117" i="1" s="1"/>
  <c r="BJ97" i="1"/>
  <c r="BK97" i="1"/>
  <c r="BL97" i="1"/>
  <c r="BL117" i="1" s="1"/>
  <c r="BM97" i="1"/>
  <c r="BM117" i="1" s="1"/>
  <c r="BN97" i="1"/>
  <c r="BN117" i="1" s="1"/>
  <c r="BO97" i="1"/>
  <c r="C98" i="1"/>
  <c r="C118" i="1" s="1"/>
  <c r="D98" i="1"/>
  <c r="D118" i="1" s="1"/>
  <c r="E98" i="1"/>
  <c r="F98" i="1"/>
  <c r="G98" i="1"/>
  <c r="H98" i="1"/>
  <c r="H118" i="1" s="1"/>
  <c r="I98" i="1"/>
  <c r="J98" i="1"/>
  <c r="K98" i="1"/>
  <c r="K118" i="1" s="1"/>
  <c r="L98" i="1"/>
  <c r="L118" i="1" s="1"/>
  <c r="M98" i="1"/>
  <c r="M118" i="1" s="1"/>
  <c r="N98" i="1"/>
  <c r="O98" i="1"/>
  <c r="P98" i="1"/>
  <c r="P118" i="1" s="1"/>
  <c r="Q98" i="1"/>
  <c r="R98" i="1"/>
  <c r="S98" i="1"/>
  <c r="T98" i="1"/>
  <c r="T118" i="1" s="1"/>
  <c r="U98" i="1"/>
  <c r="V98" i="1"/>
  <c r="W98" i="1"/>
  <c r="W118" i="1" s="1"/>
  <c r="X98" i="1"/>
  <c r="X118" i="1" s="1"/>
  <c r="Y98" i="1"/>
  <c r="Y118" i="1" s="1"/>
  <c r="Z98" i="1"/>
  <c r="AA98" i="1"/>
  <c r="AA118" i="1" s="1"/>
  <c r="AB98" i="1"/>
  <c r="AB118" i="1" s="1"/>
  <c r="AC98" i="1"/>
  <c r="AD98" i="1"/>
  <c r="AE98" i="1"/>
  <c r="AE118" i="1" s="1"/>
  <c r="AF98" i="1"/>
  <c r="AF118" i="1" s="1"/>
  <c r="AG98" i="1"/>
  <c r="AH98" i="1"/>
  <c r="AI98" i="1"/>
  <c r="AI118" i="1" s="1"/>
  <c r="AJ98" i="1"/>
  <c r="AJ118" i="1" s="1"/>
  <c r="AK98" i="1"/>
  <c r="AL98" i="1"/>
  <c r="AM98" i="1"/>
  <c r="AM118" i="1" s="1"/>
  <c r="AN98" i="1"/>
  <c r="AN118" i="1" s="1"/>
  <c r="AO98" i="1"/>
  <c r="AP98" i="1"/>
  <c r="AQ98" i="1"/>
  <c r="AQ118" i="1" s="1"/>
  <c r="AR98" i="1"/>
  <c r="AR118" i="1" s="1"/>
  <c r="AS98" i="1"/>
  <c r="AT98" i="1"/>
  <c r="AU98" i="1"/>
  <c r="AU118" i="1" s="1"/>
  <c r="AV98" i="1"/>
  <c r="AV118" i="1" s="1"/>
  <c r="AW98" i="1"/>
  <c r="AX98" i="1"/>
  <c r="AY98" i="1"/>
  <c r="AY118" i="1" s="1"/>
  <c r="AZ98" i="1"/>
  <c r="AZ118" i="1" s="1"/>
  <c r="BA98" i="1"/>
  <c r="BB98" i="1"/>
  <c r="BC98" i="1"/>
  <c r="BC118" i="1" s="1"/>
  <c r="BD98" i="1"/>
  <c r="BD118" i="1" s="1"/>
  <c r="BE98" i="1"/>
  <c r="BF98" i="1"/>
  <c r="BG98" i="1"/>
  <c r="BG118" i="1" s="1"/>
  <c r="BH98" i="1"/>
  <c r="BH118" i="1" s="1"/>
  <c r="BI98" i="1"/>
  <c r="BI118" i="1" s="1"/>
  <c r="BJ98" i="1"/>
  <c r="BK98" i="1"/>
  <c r="BK118" i="1" s="1"/>
  <c r="BL98" i="1"/>
  <c r="BL118" i="1" s="1"/>
  <c r="BM98" i="1"/>
  <c r="BN98" i="1"/>
  <c r="BO98" i="1"/>
  <c r="BO118" i="1" s="1"/>
  <c r="C99" i="1"/>
  <c r="D99" i="1"/>
  <c r="E99" i="1"/>
  <c r="F99" i="1"/>
  <c r="F119" i="1" s="1"/>
  <c r="G99" i="1"/>
  <c r="H99" i="1"/>
  <c r="H119" i="1" s="1"/>
  <c r="I99" i="1"/>
  <c r="J99" i="1"/>
  <c r="J119" i="1" s="1"/>
  <c r="K99" i="1"/>
  <c r="L99" i="1"/>
  <c r="M99" i="1"/>
  <c r="N99" i="1"/>
  <c r="N119" i="1" s="1"/>
  <c r="O99" i="1"/>
  <c r="P99" i="1"/>
  <c r="Q99" i="1"/>
  <c r="R99" i="1"/>
  <c r="R119" i="1" s="1"/>
  <c r="S99" i="1"/>
  <c r="T99" i="1"/>
  <c r="T119" i="1" s="1"/>
  <c r="U99" i="1"/>
  <c r="V99" i="1"/>
  <c r="V119" i="1" s="1"/>
  <c r="W99" i="1"/>
  <c r="X99" i="1"/>
  <c r="Y99" i="1"/>
  <c r="Z99" i="1"/>
  <c r="Z119" i="1" s="1"/>
  <c r="AA99" i="1"/>
  <c r="AB99" i="1"/>
  <c r="AB119" i="1" s="1"/>
  <c r="AC99" i="1"/>
  <c r="AD99" i="1"/>
  <c r="AD119" i="1" s="1"/>
  <c r="AE99" i="1"/>
  <c r="AF99" i="1"/>
  <c r="AG99" i="1"/>
  <c r="AH99" i="1"/>
  <c r="AH119" i="1" s="1"/>
  <c r="AI99" i="1"/>
  <c r="AJ99" i="1"/>
  <c r="AK99" i="1"/>
  <c r="AL99" i="1"/>
  <c r="AL119" i="1" s="1"/>
  <c r="AM99" i="1"/>
  <c r="AN99" i="1"/>
  <c r="AO99" i="1"/>
  <c r="AP99" i="1"/>
  <c r="AP119" i="1" s="1"/>
  <c r="AQ99" i="1"/>
  <c r="AR99" i="1"/>
  <c r="AS99" i="1"/>
  <c r="AT99" i="1"/>
  <c r="AT119" i="1" s="1"/>
  <c r="AU99" i="1"/>
  <c r="AV99" i="1"/>
  <c r="AW99" i="1"/>
  <c r="AX99" i="1"/>
  <c r="AX119" i="1" s="1"/>
  <c r="AY99" i="1"/>
  <c r="AZ99" i="1"/>
  <c r="BA99" i="1"/>
  <c r="BB99" i="1"/>
  <c r="BB119" i="1" s="1"/>
  <c r="BC99" i="1"/>
  <c r="BD99" i="1"/>
  <c r="BD119" i="1" s="1"/>
  <c r="BE99" i="1"/>
  <c r="BF99" i="1"/>
  <c r="BF119" i="1" s="1"/>
  <c r="BG99" i="1"/>
  <c r="BH99" i="1"/>
  <c r="BI99" i="1"/>
  <c r="BJ99" i="1"/>
  <c r="BJ119" i="1" s="1"/>
  <c r="BK99" i="1"/>
  <c r="BL99" i="1"/>
  <c r="BL119" i="1" s="1"/>
  <c r="BM99" i="1"/>
  <c r="BN99" i="1"/>
  <c r="BN119" i="1" s="1"/>
  <c r="BO99" i="1"/>
  <c r="C100" i="1"/>
  <c r="D100" i="1"/>
  <c r="E100" i="1"/>
  <c r="E120" i="1" s="1"/>
  <c r="F100" i="1"/>
  <c r="F120" i="1" s="1"/>
  <c r="G100" i="1"/>
  <c r="H100" i="1"/>
  <c r="I100" i="1"/>
  <c r="I120" i="1" s="1"/>
  <c r="J100" i="1"/>
  <c r="J120" i="1" s="1"/>
  <c r="K100" i="1"/>
  <c r="L100" i="1"/>
  <c r="M100" i="1"/>
  <c r="M120" i="1" s="1"/>
  <c r="N100" i="1"/>
  <c r="N120" i="1" s="1"/>
  <c r="O100" i="1"/>
  <c r="P100" i="1"/>
  <c r="Q100" i="1"/>
  <c r="Q120" i="1" s="1"/>
  <c r="R100" i="1"/>
  <c r="R120" i="1" s="1"/>
  <c r="S100" i="1"/>
  <c r="T100" i="1"/>
  <c r="U100" i="1"/>
  <c r="U120" i="1" s="1"/>
  <c r="V100" i="1"/>
  <c r="V120" i="1" s="1"/>
  <c r="W100" i="1"/>
  <c r="X100" i="1"/>
  <c r="Y100" i="1"/>
  <c r="Y120" i="1" s="1"/>
  <c r="Z100" i="1"/>
  <c r="Z120" i="1" s="1"/>
  <c r="AA100" i="1"/>
  <c r="AA120" i="1" s="1"/>
  <c r="AB100" i="1"/>
  <c r="AC100" i="1"/>
  <c r="AC120" i="1" s="1"/>
  <c r="AD100" i="1"/>
  <c r="AD120" i="1" s="1"/>
  <c r="AE100" i="1"/>
  <c r="AF100" i="1"/>
  <c r="AG100" i="1"/>
  <c r="AG120" i="1" s="1"/>
  <c r="AH100" i="1"/>
  <c r="AH120" i="1" s="1"/>
  <c r="AI100" i="1"/>
  <c r="AI120" i="1" s="1"/>
  <c r="AJ100" i="1"/>
  <c r="AK100" i="1"/>
  <c r="AK120" i="1" s="1"/>
  <c r="AL100" i="1"/>
  <c r="AL120" i="1" s="1"/>
  <c r="AM100" i="1"/>
  <c r="AN100" i="1"/>
  <c r="AO100" i="1"/>
  <c r="AO120" i="1" s="1"/>
  <c r="AP100" i="1"/>
  <c r="AP120" i="1" s="1"/>
  <c r="AQ100" i="1"/>
  <c r="AR100" i="1"/>
  <c r="AS100" i="1"/>
  <c r="AS120" i="1" s="1"/>
  <c r="AT100" i="1"/>
  <c r="AT120" i="1" s="1"/>
  <c r="AU100" i="1"/>
  <c r="AV100" i="1"/>
  <c r="AW100" i="1"/>
  <c r="AW120" i="1" s="1"/>
  <c r="AX100" i="1"/>
  <c r="AX120" i="1" s="1"/>
  <c r="AY100" i="1"/>
  <c r="AZ100" i="1"/>
  <c r="BA100" i="1"/>
  <c r="BA120" i="1" s="1"/>
  <c r="BB100" i="1"/>
  <c r="BB120" i="1" s="1"/>
  <c r="BC100" i="1"/>
  <c r="BC120" i="1" s="1"/>
  <c r="BD100" i="1"/>
  <c r="BE100" i="1"/>
  <c r="BE120" i="1" s="1"/>
  <c r="BF100" i="1"/>
  <c r="BF120" i="1" s="1"/>
  <c r="BG100" i="1"/>
  <c r="BH100" i="1"/>
  <c r="BI100" i="1"/>
  <c r="BI120" i="1" s="1"/>
  <c r="BJ100" i="1"/>
  <c r="BJ120" i="1" s="1"/>
  <c r="BK100" i="1"/>
  <c r="BK120" i="1" s="1"/>
  <c r="BL100" i="1"/>
  <c r="BM100" i="1"/>
  <c r="BM120" i="1" s="1"/>
  <c r="BN100" i="1"/>
  <c r="BN120" i="1" s="1"/>
  <c r="BO100" i="1"/>
  <c r="C101" i="1"/>
  <c r="D101" i="1"/>
  <c r="D121" i="1" s="1"/>
  <c r="E101" i="1"/>
  <c r="E121" i="1" s="1"/>
  <c r="F101" i="1"/>
  <c r="G101" i="1"/>
  <c r="H101" i="1"/>
  <c r="H121" i="1" s="1"/>
  <c r="I101" i="1"/>
  <c r="I121" i="1" s="1"/>
  <c r="J101" i="1"/>
  <c r="K101" i="1"/>
  <c r="L101" i="1"/>
  <c r="L121" i="1" s="1"/>
  <c r="M101" i="1"/>
  <c r="M121" i="1" s="1"/>
  <c r="N101" i="1"/>
  <c r="O101" i="1"/>
  <c r="P101" i="1"/>
  <c r="P121" i="1" s="1"/>
  <c r="Q101" i="1"/>
  <c r="Q121" i="1" s="1"/>
  <c r="R101" i="1"/>
  <c r="S101" i="1"/>
  <c r="T101" i="1"/>
  <c r="T121" i="1" s="1"/>
  <c r="U101" i="1"/>
  <c r="U121" i="1" s="1"/>
  <c r="V101" i="1"/>
  <c r="W101" i="1"/>
  <c r="X101" i="1"/>
  <c r="X121" i="1" s="1"/>
  <c r="Y101" i="1"/>
  <c r="Y121" i="1" s="1"/>
  <c r="Z101" i="1"/>
  <c r="Z121" i="1" s="1"/>
  <c r="AA101" i="1"/>
  <c r="AB101" i="1"/>
  <c r="AB121" i="1" s="1"/>
  <c r="AC101" i="1"/>
  <c r="AC121" i="1" s="1"/>
  <c r="AD101" i="1"/>
  <c r="AE101" i="1"/>
  <c r="AF101" i="1"/>
  <c r="AF121" i="1" s="1"/>
  <c r="AG101" i="1"/>
  <c r="AG121" i="1" s="1"/>
  <c r="AH101" i="1"/>
  <c r="AH121" i="1" s="1"/>
  <c r="AI101" i="1"/>
  <c r="AJ101" i="1"/>
  <c r="AJ121" i="1" s="1"/>
  <c r="AK101" i="1"/>
  <c r="AL101" i="1"/>
  <c r="AM101" i="1"/>
  <c r="AN101" i="1"/>
  <c r="AN121" i="1" s="1"/>
  <c r="AO101" i="1"/>
  <c r="AO121" i="1" s="1"/>
  <c r="AP101" i="1"/>
  <c r="AQ101" i="1"/>
  <c r="AR101" i="1"/>
  <c r="AR121" i="1" s="1"/>
  <c r="AS101" i="1"/>
  <c r="AS121" i="1" s="1"/>
  <c r="AT101" i="1"/>
  <c r="AU101" i="1"/>
  <c r="AV101" i="1"/>
  <c r="AV121" i="1" s="1"/>
  <c r="AW101" i="1"/>
  <c r="AW121" i="1" s="1"/>
  <c r="AX101" i="1"/>
  <c r="AY101" i="1"/>
  <c r="AZ101" i="1"/>
  <c r="AZ121" i="1" s="1"/>
  <c r="BA101" i="1"/>
  <c r="BA121" i="1" s="1"/>
  <c r="BB101" i="1"/>
  <c r="BB121" i="1" s="1"/>
  <c r="BC101" i="1"/>
  <c r="BD101" i="1"/>
  <c r="BD121" i="1" s="1"/>
  <c r="BE101" i="1"/>
  <c r="BE121" i="1" s="1"/>
  <c r="BF101" i="1"/>
  <c r="BG101" i="1"/>
  <c r="BH101" i="1"/>
  <c r="BH121" i="1" s="1"/>
  <c r="BI101" i="1"/>
  <c r="BI121" i="1" s="1"/>
  <c r="BJ101" i="1"/>
  <c r="BJ121" i="1" s="1"/>
  <c r="BK101" i="1"/>
  <c r="BL101" i="1"/>
  <c r="BL121" i="1" s="1"/>
  <c r="BM101" i="1"/>
  <c r="BM121" i="1" s="1"/>
  <c r="BN101" i="1"/>
  <c r="BO101" i="1"/>
  <c r="C102" i="1"/>
  <c r="C122" i="1" s="1"/>
  <c r="D102" i="1"/>
  <c r="D122" i="1" s="1"/>
  <c r="E102" i="1"/>
  <c r="F102" i="1"/>
  <c r="G102" i="1"/>
  <c r="G122" i="1" s="1"/>
  <c r="H102" i="1"/>
  <c r="H122" i="1" s="1"/>
  <c r="I102" i="1"/>
  <c r="J102" i="1"/>
  <c r="K102" i="1"/>
  <c r="K122" i="1" s="1"/>
  <c r="L102" i="1"/>
  <c r="L122" i="1" s="1"/>
  <c r="M102" i="1"/>
  <c r="N102" i="1"/>
  <c r="O102" i="1"/>
  <c r="O122" i="1" s="1"/>
  <c r="P102" i="1"/>
  <c r="P122" i="1" s="1"/>
  <c r="Q102" i="1"/>
  <c r="R102" i="1"/>
  <c r="S102" i="1"/>
  <c r="S122" i="1" s="1"/>
  <c r="T102" i="1"/>
  <c r="T122" i="1" s="1"/>
  <c r="U102" i="1"/>
  <c r="V102" i="1"/>
  <c r="W102" i="1"/>
  <c r="W122" i="1" s="1"/>
  <c r="X102" i="1"/>
  <c r="X122" i="1" s="1"/>
  <c r="Y102" i="1"/>
  <c r="Y122" i="1" s="1"/>
  <c r="Z102" i="1"/>
  <c r="AA102" i="1"/>
  <c r="AA122" i="1" s="1"/>
  <c r="AB102" i="1"/>
  <c r="AB122" i="1" s="1"/>
  <c r="AC102" i="1"/>
  <c r="AC122" i="1" s="1"/>
  <c r="AD102" i="1"/>
  <c r="AE102" i="1"/>
  <c r="AE122" i="1" s="1"/>
  <c r="AF102" i="1"/>
  <c r="AF122" i="1" s="1"/>
  <c r="AG102" i="1"/>
  <c r="AG122" i="1" s="1"/>
  <c r="AH102" i="1"/>
  <c r="AI102" i="1"/>
  <c r="AI122" i="1" s="1"/>
  <c r="AJ102" i="1"/>
  <c r="AJ122" i="1" s="1"/>
  <c r="AK102" i="1"/>
  <c r="AK122" i="1" s="1"/>
  <c r="AL102" i="1"/>
  <c r="AM102" i="1"/>
  <c r="AM122" i="1" s="1"/>
  <c r="AN102" i="1"/>
  <c r="AN122" i="1" s="1"/>
  <c r="AO102" i="1"/>
  <c r="AP102" i="1"/>
  <c r="AQ102" i="1"/>
  <c r="AQ122" i="1" s="1"/>
  <c r="AR102" i="1"/>
  <c r="AR122" i="1" s="1"/>
  <c r="AS102" i="1"/>
  <c r="AS122" i="1" s="1"/>
  <c r="AT102" i="1"/>
  <c r="AU102" i="1"/>
  <c r="AU122" i="1" s="1"/>
  <c r="AV102" i="1"/>
  <c r="AV122" i="1" s="1"/>
  <c r="AW102" i="1"/>
  <c r="AX102" i="1"/>
  <c r="AY102" i="1"/>
  <c r="AY122" i="1" s="1"/>
  <c r="AZ102" i="1"/>
  <c r="AZ122" i="1" s="1"/>
  <c r="BA102" i="1"/>
  <c r="BA122" i="1" s="1"/>
  <c r="BB102" i="1"/>
  <c r="BC102" i="1"/>
  <c r="BC122" i="1" s="1"/>
  <c r="BD102" i="1"/>
  <c r="BD122" i="1" s="1"/>
  <c r="BE102" i="1"/>
  <c r="BF102" i="1"/>
  <c r="BG102" i="1"/>
  <c r="BG122" i="1" s="1"/>
  <c r="BH102" i="1"/>
  <c r="BH122" i="1" s="1"/>
  <c r="BI102" i="1"/>
  <c r="BI122" i="1" s="1"/>
  <c r="BJ102" i="1"/>
  <c r="BK102" i="1"/>
  <c r="BK122" i="1" s="1"/>
  <c r="BL102" i="1"/>
  <c r="BL122" i="1" s="1"/>
  <c r="BM102" i="1"/>
  <c r="BM122" i="1" s="1"/>
  <c r="BN102" i="1"/>
  <c r="BO102" i="1"/>
  <c r="BO122" i="1" s="1"/>
  <c r="C103" i="1"/>
  <c r="C123" i="1" s="1"/>
  <c r="D103" i="1"/>
  <c r="E103" i="1"/>
  <c r="F103" i="1"/>
  <c r="F123" i="1" s="1"/>
  <c r="G103" i="1"/>
  <c r="G123" i="1" s="1"/>
  <c r="H103" i="1"/>
  <c r="H123" i="1" s="1"/>
  <c r="I103" i="1"/>
  <c r="J103" i="1"/>
  <c r="J123" i="1" s="1"/>
  <c r="K103" i="1"/>
  <c r="K123" i="1" s="1"/>
  <c r="L103" i="1"/>
  <c r="M103" i="1"/>
  <c r="N103" i="1"/>
  <c r="N123" i="1" s="1"/>
  <c r="O103" i="1"/>
  <c r="O123" i="1" s="1"/>
  <c r="P103" i="1"/>
  <c r="P123" i="1" s="1"/>
  <c r="Q103" i="1"/>
  <c r="R103" i="1"/>
  <c r="R123" i="1" s="1"/>
  <c r="S103" i="1"/>
  <c r="S123" i="1" s="1"/>
  <c r="T103" i="1"/>
  <c r="U103" i="1"/>
  <c r="V103" i="1"/>
  <c r="V123" i="1" s="1"/>
  <c r="W103" i="1"/>
  <c r="W123" i="1" s="1"/>
  <c r="X103" i="1"/>
  <c r="X123" i="1" s="1"/>
  <c r="Y103" i="1"/>
  <c r="Z103" i="1"/>
  <c r="Z123" i="1" s="1"/>
  <c r="AA103" i="1"/>
  <c r="AA123" i="1" s="1"/>
  <c r="AB103" i="1"/>
  <c r="AC103" i="1"/>
  <c r="AD103" i="1"/>
  <c r="AD123" i="1" s="1"/>
  <c r="AE103" i="1"/>
  <c r="AE123" i="1" s="1"/>
  <c r="AF103" i="1"/>
  <c r="AF123" i="1" s="1"/>
  <c r="AG103" i="1"/>
  <c r="AH103" i="1"/>
  <c r="AH123" i="1" s="1"/>
  <c r="AI103" i="1"/>
  <c r="AI123" i="1" s="1"/>
  <c r="AJ103" i="1"/>
  <c r="AK103" i="1"/>
  <c r="AL103" i="1"/>
  <c r="AL123" i="1" s="1"/>
  <c r="AM103" i="1"/>
  <c r="AM123" i="1" s="1"/>
  <c r="AN103" i="1"/>
  <c r="AO103" i="1"/>
  <c r="AP103" i="1"/>
  <c r="AP123" i="1" s="1"/>
  <c r="AQ103" i="1"/>
  <c r="AQ123" i="1" s="1"/>
  <c r="AR103" i="1"/>
  <c r="AS103" i="1"/>
  <c r="AT103" i="1"/>
  <c r="AT123" i="1" s="1"/>
  <c r="AU103" i="1"/>
  <c r="AU123" i="1" s="1"/>
  <c r="AV103" i="1"/>
  <c r="AW103" i="1"/>
  <c r="AX103" i="1"/>
  <c r="AX123" i="1" s="1"/>
  <c r="AY103" i="1"/>
  <c r="AY123" i="1" s="1"/>
  <c r="AZ103" i="1"/>
  <c r="BA103" i="1"/>
  <c r="BB103" i="1"/>
  <c r="BB123" i="1" s="1"/>
  <c r="BC103" i="1"/>
  <c r="BC123" i="1" s="1"/>
  <c r="BD103" i="1"/>
  <c r="BE103" i="1"/>
  <c r="BF103" i="1"/>
  <c r="BF123" i="1" s="1"/>
  <c r="BG103" i="1"/>
  <c r="BG123" i="1" s="1"/>
  <c r="BH103" i="1"/>
  <c r="BI103" i="1"/>
  <c r="BJ103" i="1"/>
  <c r="BJ123" i="1" s="1"/>
  <c r="BK103" i="1"/>
  <c r="BK123" i="1" s="1"/>
  <c r="BL103" i="1"/>
  <c r="BM103" i="1"/>
  <c r="BN103" i="1"/>
  <c r="BN123" i="1" s="1"/>
  <c r="BO103" i="1"/>
  <c r="BO123" i="1" s="1"/>
  <c r="E107" i="1"/>
  <c r="H107" i="1"/>
  <c r="I107" i="1"/>
  <c r="L107" i="1"/>
  <c r="M107" i="1"/>
  <c r="P107" i="1"/>
  <c r="Q107" i="1"/>
  <c r="U107" i="1"/>
  <c r="X107" i="1"/>
  <c r="Y107" i="1"/>
  <c r="AA107" i="1"/>
  <c r="AB107" i="1"/>
  <c r="AC107" i="1"/>
  <c r="AF107" i="1"/>
  <c r="AG107" i="1"/>
  <c r="AK107" i="1"/>
  <c r="AN107" i="1"/>
  <c r="AO107" i="1"/>
  <c r="AR107" i="1"/>
  <c r="AS107" i="1"/>
  <c r="AV107" i="1"/>
  <c r="AW107" i="1"/>
  <c r="BA107" i="1"/>
  <c r="BD107" i="1"/>
  <c r="BE107" i="1"/>
  <c r="BG107" i="1"/>
  <c r="BH107" i="1"/>
  <c r="BI107" i="1"/>
  <c r="BL107" i="1"/>
  <c r="BM107" i="1"/>
  <c r="D108" i="1"/>
  <c r="G108" i="1"/>
  <c r="H108" i="1"/>
  <c r="K108" i="1"/>
  <c r="L108" i="1"/>
  <c r="O108" i="1"/>
  <c r="P108" i="1"/>
  <c r="T108" i="1"/>
  <c r="W108" i="1"/>
  <c r="X108" i="1"/>
  <c r="Z108" i="1"/>
  <c r="AA108" i="1"/>
  <c r="AB108" i="1"/>
  <c r="AE108" i="1"/>
  <c r="AF108" i="1"/>
  <c r="AJ108" i="1"/>
  <c r="AM108" i="1"/>
  <c r="AN108" i="1"/>
  <c r="AQ108" i="1"/>
  <c r="AR108" i="1"/>
  <c r="AU108" i="1"/>
  <c r="AV108" i="1"/>
  <c r="AZ108" i="1"/>
  <c r="BC108" i="1"/>
  <c r="BD108" i="1"/>
  <c r="BF108" i="1"/>
  <c r="BG108" i="1"/>
  <c r="BH108" i="1"/>
  <c r="BK108" i="1"/>
  <c r="BL108" i="1"/>
  <c r="C109" i="1"/>
  <c r="F109" i="1"/>
  <c r="G109" i="1"/>
  <c r="J109" i="1"/>
  <c r="K109" i="1"/>
  <c r="N109" i="1"/>
  <c r="O109" i="1"/>
  <c r="S109" i="1"/>
  <c r="V109" i="1"/>
  <c r="W109" i="1"/>
  <c r="Y109" i="1"/>
  <c r="Z109" i="1"/>
  <c r="AA109" i="1"/>
  <c r="AD109" i="1"/>
  <c r="AE109" i="1"/>
  <c r="AI109" i="1"/>
  <c r="AL109" i="1"/>
  <c r="AM109" i="1"/>
  <c r="AP109" i="1"/>
  <c r="AQ109" i="1"/>
  <c r="AT109" i="1"/>
  <c r="AU109" i="1"/>
  <c r="AY109" i="1"/>
  <c r="BC109" i="1"/>
  <c r="BE109" i="1"/>
  <c r="BF109" i="1"/>
  <c r="BG109" i="1"/>
  <c r="BJ109" i="1"/>
  <c r="BK109" i="1"/>
  <c r="BO109" i="1"/>
  <c r="E110" i="1"/>
  <c r="F110" i="1"/>
  <c r="J110" i="1"/>
  <c r="N110" i="1"/>
  <c r="R110" i="1"/>
  <c r="U110" i="1"/>
  <c r="V110" i="1"/>
  <c r="Z110" i="1"/>
  <c r="AC110" i="1"/>
  <c r="AD110" i="1"/>
  <c r="AH110" i="1"/>
  <c r="AK110" i="1"/>
  <c r="AL110" i="1"/>
  <c r="AP110" i="1"/>
  <c r="AS110" i="1"/>
  <c r="AT110" i="1"/>
  <c r="AX110" i="1"/>
  <c r="BA110" i="1"/>
  <c r="BB110" i="1"/>
  <c r="BF110" i="1"/>
  <c r="BI110" i="1"/>
  <c r="BJ110" i="1"/>
  <c r="BN110" i="1"/>
  <c r="C111" i="1"/>
  <c r="E111" i="1"/>
  <c r="H111" i="1"/>
  <c r="I111" i="1"/>
  <c r="M111" i="1"/>
  <c r="P111" i="1"/>
  <c r="Q111" i="1"/>
  <c r="U111" i="1"/>
  <c r="W111" i="1"/>
  <c r="X111" i="1"/>
  <c r="Y111" i="1"/>
  <c r="AB111" i="1"/>
  <c r="AC111" i="1"/>
  <c r="AG111" i="1"/>
  <c r="AI111" i="1"/>
  <c r="AK111" i="1"/>
  <c r="AN111" i="1"/>
  <c r="AO111" i="1"/>
  <c r="AS111" i="1"/>
  <c r="AV111" i="1"/>
  <c r="AW111" i="1"/>
  <c r="BA111" i="1"/>
  <c r="BC111" i="1"/>
  <c r="BD111" i="1"/>
  <c r="BE111" i="1"/>
  <c r="BH111" i="1"/>
  <c r="BI111" i="1"/>
  <c r="BM111" i="1"/>
  <c r="BO111" i="1"/>
  <c r="D112" i="1"/>
  <c r="G112" i="1"/>
  <c r="H112" i="1"/>
  <c r="L112" i="1"/>
  <c r="O112" i="1"/>
  <c r="P112" i="1"/>
  <c r="T112" i="1"/>
  <c r="V112" i="1"/>
  <c r="W112" i="1"/>
  <c r="X112" i="1"/>
  <c r="AA112" i="1"/>
  <c r="AB112" i="1"/>
  <c r="AF112" i="1"/>
  <c r="AJ112" i="1"/>
  <c r="AM112" i="1"/>
  <c r="AN112" i="1"/>
  <c r="AR112" i="1"/>
  <c r="AU112" i="1"/>
  <c r="AV112" i="1"/>
  <c r="AZ112" i="1"/>
  <c r="BC112" i="1"/>
  <c r="BD112" i="1"/>
  <c r="BG112" i="1"/>
  <c r="BH112" i="1"/>
  <c r="BL112" i="1"/>
  <c r="BN112" i="1"/>
  <c r="C113" i="1"/>
  <c r="F113" i="1"/>
  <c r="G113" i="1"/>
  <c r="K113" i="1"/>
  <c r="N113" i="1"/>
  <c r="O113" i="1"/>
  <c r="S113" i="1"/>
  <c r="U113" i="1"/>
  <c r="V113" i="1"/>
  <c r="W113" i="1"/>
  <c r="Z113" i="1"/>
  <c r="AA113" i="1"/>
  <c r="AE113" i="1"/>
  <c r="AI113" i="1"/>
  <c r="AL113" i="1"/>
  <c r="AM113" i="1"/>
  <c r="AQ113" i="1"/>
  <c r="AT113" i="1"/>
  <c r="AU113" i="1"/>
  <c r="AY113" i="1"/>
  <c r="BB113" i="1"/>
  <c r="BC113" i="1"/>
  <c r="BF113" i="1"/>
  <c r="BG113" i="1"/>
  <c r="BK113" i="1"/>
  <c r="BM113" i="1"/>
  <c r="BO113" i="1"/>
  <c r="F114" i="1"/>
  <c r="J114" i="1"/>
  <c r="K114" i="1"/>
  <c r="N114" i="1"/>
  <c r="R114" i="1"/>
  <c r="V114" i="1"/>
  <c r="Z114" i="1"/>
  <c r="AD114" i="1"/>
  <c r="AE114" i="1"/>
  <c r="AH114" i="1"/>
  <c r="AL114" i="1"/>
  <c r="AP114" i="1"/>
  <c r="AT114" i="1"/>
  <c r="AU114" i="1"/>
  <c r="AV114" i="1"/>
  <c r="AX114" i="1"/>
  <c r="BB114" i="1"/>
  <c r="BF114" i="1"/>
  <c r="BG114" i="1"/>
  <c r="BJ114" i="1"/>
  <c r="BL114" i="1"/>
  <c r="BN114" i="1"/>
  <c r="E115" i="1"/>
  <c r="I115" i="1"/>
  <c r="J115" i="1"/>
  <c r="M115" i="1"/>
  <c r="Q115" i="1"/>
  <c r="U115" i="1"/>
  <c r="Y115" i="1"/>
  <c r="AC115" i="1"/>
  <c r="AD115" i="1"/>
  <c r="AG115" i="1"/>
  <c r="AJ115" i="1"/>
  <c r="AK115" i="1"/>
  <c r="AO115" i="1"/>
  <c r="AS115" i="1"/>
  <c r="AV115" i="1"/>
  <c r="AW115" i="1"/>
  <c r="BA115" i="1"/>
  <c r="BD115" i="1"/>
  <c r="BE115" i="1"/>
  <c r="BI115" i="1"/>
  <c r="BL115" i="1"/>
  <c r="BM115" i="1"/>
  <c r="D116" i="1"/>
  <c r="E116" i="1"/>
  <c r="H116" i="1"/>
  <c r="K116" i="1"/>
  <c r="L116" i="1"/>
  <c r="O116" i="1"/>
  <c r="P116" i="1"/>
  <c r="T116" i="1"/>
  <c r="X116" i="1"/>
  <c r="AA116" i="1"/>
  <c r="AB116" i="1"/>
  <c r="AF116" i="1"/>
  <c r="AG116" i="1"/>
  <c r="AI116" i="1"/>
  <c r="AJ116" i="1"/>
  <c r="AN116" i="1"/>
  <c r="AQ116" i="1"/>
  <c r="AR116" i="1"/>
  <c r="AV116" i="1"/>
  <c r="AY116" i="1"/>
  <c r="AZ116" i="1"/>
  <c r="BC116" i="1"/>
  <c r="BD116" i="1"/>
  <c r="BE116" i="1"/>
  <c r="BG116" i="1"/>
  <c r="BH116" i="1"/>
  <c r="BL116" i="1"/>
  <c r="BO116" i="1"/>
  <c r="C117" i="1"/>
  <c r="F117" i="1"/>
  <c r="G117" i="1"/>
  <c r="K117" i="1"/>
  <c r="N117" i="1"/>
  <c r="O117" i="1"/>
  <c r="R117" i="1"/>
  <c r="S117" i="1"/>
  <c r="W117" i="1"/>
  <c r="Z117" i="1"/>
  <c r="AA117" i="1"/>
  <c r="AE117" i="1"/>
  <c r="AF117" i="1"/>
  <c r="AH117" i="1"/>
  <c r="AI117" i="1"/>
  <c r="AL117" i="1"/>
  <c r="AM117" i="1"/>
  <c r="AP117" i="1"/>
  <c r="AQ117" i="1"/>
  <c r="AT117" i="1"/>
  <c r="AU117" i="1"/>
  <c r="AX117" i="1"/>
  <c r="AY117" i="1"/>
  <c r="BB117" i="1"/>
  <c r="BC117" i="1"/>
  <c r="BG117" i="1"/>
  <c r="BJ117" i="1"/>
  <c r="BK117" i="1"/>
  <c r="BO117" i="1"/>
  <c r="E118" i="1"/>
  <c r="F118" i="1"/>
  <c r="G118" i="1"/>
  <c r="I118" i="1"/>
  <c r="J118" i="1"/>
  <c r="N118" i="1"/>
  <c r="O118" i="1"/>
  <c r="Q118" i="1"/>
  <c r="R118" i="1"/>
  <c r="S118" i="1"/>
  <c r="U118" i="1"/>
  <c r="V118" i="1"/>
  <c r="Z118" i="1"/>
  <c r="AC118" i="1"/>
  <c r="AD118" i="1"/>
  <c r="AG118" i="1"/>
  <c r="AH118" i="1"/>
  <c r="AK118" i="1"/>
  <c r="AL118" i="1"/>
  <c r="AO118" i="1"/>
  <c r="AP118" i="1"/>
  <c r="AS118" i="1"/>
  <c r="AT118" i="1"/>
  <c r="AW118" i="1"/>
  <c r="AX118" i="1"/>
  <c r="BA118" i="1"/>
  <c r="BB118" i="1"/>
  <c r="BE118" i="1"/>
  <c r="BF118" i="1"/>
  <c r="BJ118" i="1"/>
  <c r="BM118" i="1"/>
  <c r="BN118" i="1"/>
  <c r="D119" i="1"/>
  <c r="E119" i="1"/>
  <c r="I119" i="1"/>
  <c r="L119" i="1"/>
  <c r="M119" i="1"/>
  <c r="P119" i="1"/>
  <c r="Q119" i="1"/>
  <c r="U119" i="1"/>
  <c r="X119" i="1"/>
  <c r="Y119" i="1"/>
  <c r="AC119" i="1"/>
  <c r="AF119" i="1"/>
  <c r="AG119" i="1"/>
  <c r="AJ119" i="1"/>
  <c r="AK119" i="1"/>
  <c r="AN119" i="1"/>
  <c r="AO119" i="1"/>
  <c r="AR119" i="1"/>
  <c r="AS119" i="1"/>
  <c r="AV119" i="1"/>
  <c r="AW119" i="1"/>
  <c r="AZ119" i="1"/>
  <c r="BA119" i="1"/>
  <c r="BE119" i="1"/>
  <c r="BH119" i="1"/>
  <c r="BI119" i="1"/>
  <c r="BM119" i="1"/>
  <c r="C120" i="1"/>
  <c r="D120" i="1"/>
  <c r="G120" i="1"/>
  <c r="H120" i="1"/>
  <c r="K120" i="1"/>
  <c r="L120" i="1"/>
  <c r="O120" i="1"/>
  <c r="P120" i="1"/>
  <c r="S120" i="1"/>
  <c r="T120" i="1"/>
  <c r="W120" i="1"/>
  <c r="X120" i="1"/>
  <c r="AB120" i="1"/>
  <c r="AE120" i="1"/>
  <c r="AF120" i="1"/>
  <c r="AJ120" i="1"/>
  <c r="AM120" i="1"/>
  <c r="AN120" i="1"/>
  <c r="AQ120" i="1"/>
  <c r="AR120" i="1"/>
  <c r="AU120" i="1"/>
  <c r="AV120" i="1"/>
  <c r="AY120" i="1"/>
  <c r="AZ120" i="1"/>
  <c r="BD120" i="1"/>
  <c r="BG120" i="1"/>
  <c r="BH120" i="1"/>
  <c r="BL120" i="1"/>
  <c r="BO120" i="1"/>
  <c r="C121" i="1"/>
  <c r="F121" i="1"/>
  <c r="G121" i="1"/>
  <c r="J121" i="1"/>
  <c r="K121" i="1"/>
  <c r="N121" i="1"/>
  <c r="O121" i="1"/>
  <c r="R121" i="1"/>
  <c r="S121" i="1"/>
  <c r="V121" i="1"/>
  <c r="W121" i="1"/>
  <c r="AA121" i="1"/>
  <c r="AD121" i="1"/>
  <c r="AE121" i="1"/>
  <c r="AI121" i="1"/>
  <c r="AK121" i="1"/>
  <c r="AL121" i="1"/>
  <c r="AM121" i="1"/>
  <c r="AP121" i="1"/>
  <c r="AQ121" i="1"/>
  <c r="AT121" i="1"/>
  <c r="AU121" i="1"/>
  <c r="AX121" i="1"/>
  <c r="AY121" i="1"/>
  <c r="BC121" i="1"/>
  <c r="BF121" i="1"/>
  <c r="BG121" i="1"/>
  <c r="BK121" i="1"/>
  <c r="BN121" i="1"/>
  <c r="BO121" i="1"/>
  <c r="E122" i="1"/>
  <c r="F122" i="1"/>
  <c r="I122" i="1"/>
  <c r="J122" i="1"/>
  <c r="M122" i="1"/>
  <c r="N122" i="1"/>
  <c r="Q122" i="1"/>
  <c r="R122" i="1"/>
  <c r="U122" i="1"/>
  <c r="V122" i="1"/>
  <c r="Z122" i="1"/>
  <c r="AD122" i="1"/>
  <c r="AH122" i="1"/>
  <c r="AL122" i="1"/>
  <c r="AO122" i="1"/>
  <c r="AP122" i="1"/>
  <c r="AT122" i="1"/>
  <c r="AW122" i="1"/>
  <c r="AX122" i="1"/>
  <c r="BB122" i="1"/>
  <c r="BE122" i="1"/>
  <c r="BF122" i="1"/>
  <c r="BJ122" i="1"/>
  <c r="BN122" i="1"/>
  <c r="D123" i="1"/>
  <c r="E123" i="1"/>
  <c r="I123" i="1"/>
  <c r="L123" i="1"/>
  <c r="M123" i="1"/>
  <c r="Q123" i="1"/>
  <c r="T123" i="1"/>
  <c r="U123" i="1"/>
  <c r="Y123" i="1"/>
  <c r="AB123" i="1"/>
  <c r="AC123" i="1"/>
  <c r="AG123" i="1"/>
  <c r="AJ123" i="1"/>
  <c r="AK123" i="1"/>
  <c r="AN123" i="1"/>
  <c r="AO123" i="1"/>
  <c r="AR123" i="1"/>
  <c r="AS123" i="1"/>
  <c r="AV123" i="1"/>
  <c r="AW123" i="1"/>
  <c r="AZ123" i="1"/>
  <c r="BA123" i="1"/>
  <c r="BD123" i="1"/>
  <c r="BE123" i="1"/>
  <c r="BH123" i="1"/>
  <c r="BI123" i="1"/>
  <c r="BL123" i="1"/>
  <c r="BM123" i="1"/>
  <c r="BO105" i="1" l="1"/>
  <c r="BO125" i="1" s="1"/>
  <c r="BG105" i="1"/>
  <c r="BG125" i="1" s="1"/>
  <c r="AY105" i="1"/>
  <c r="AY125" i="1" s="1"/>
  <c r="AY119" i="1"/>
  <c r="AQ105" i="1"/>
  <c r="AQ125" i="1" s="1"/>
  <c r="AQ119" i="1"/>
  <c r="AE105" i="1"/>
  <c r="AE125" i="1" s="1"/>
  <c r="AE119" i="1"/>
  <c r="W105" i="1"/>
  <c r="W125" i="1" s="1"/>
  <c r="W119" i="1"/>
  <c r="S105" i="1"/>
  <c r="S125" i="1" s="1"/>
  <c r="S119" i="1"/>
  <c r="K105" i="1"/>
  <c r="K125" i="1" s="1"/>
  <c r="K119" i="1"/>
  <c r="C105" i="1"/>
  <c r="C125" i="1" s="1"/>
  <c r="C119" i="1"/>
  <c r="BH105" i="1"/>
  <c r="BH125" i="1" s="1"/>
  <c r="BH109" i="1"/>
  <c r="AZ105" i="1"/>
  <c r="AZ125" i="1" s="1"/>
  <c r="AZ109" i="1"/>
  <c r="AJ105" i="1"/>
  <c r="AJ125" i="1" s="1"/>
  <c r="AJ109" i="1"/>
  <c r="AB105" i="1"/>
  <c r="AB125" i="1" s="1"/>
  <c r="AB109" i="1"/>
  <c r="T105" i="1"/>
  <c r="T125" i="1" s="1"/>
  <c r="T109" i="1"/>
  <c r="L105" i="1"/>
  <c r="L125" i="1" s="1"/>
  <c r="L109" i="1"/>
  <c r="D105" i="1"/>
  <c r="D125" i="1" s="1"/>
  <c r="D109" i="1"/>
  <c r="BM105" i="1"/>
  <c r="BM125" i="1" s="1"/>
  <c r="BM108" i="1"/>
  <c r="BI105" i="1"/>
  <c r="BI125" i="1" s="1"/>
  <c r="BI108" i="1"/>
  <c r="BE105" i="1"/>
  <c r="BE125" i="1" s="1"/>
  <c r="BE108" i="1"/>
  <c r="BA105" i="1"/>
  <c r="BA125" i="1" s="1"/>
  <c r="BA108" i="1"/>
  <c r="AW105" i="1"/>
  <c r="AW125" i="1" s="1"/>
  <c r="AW108" i="1"/>
  <c r="AS105" i="1"/>
  <c r="AS125" i="1" s="1"/>
  <c r="AS108" i="1"/>
  <c r="AK105" i="1"/>
  <c r="AK125" i="1" s="1"/>
  <c r="AK108" i="1"/>
  <c r="AG105" i="1"/>
  <c r="AG125" i="1" s="1"/>
  <c r="AG108" i="1"/>
  <c r="AC105" i="1"/>
  <c r="AC125" i="1" s="1"/>
  <c r="AC108" i="1"/>
  <c r="Y105" i="1"/>
  <c r="Y125" i="1" s="1"/>
  <c r="Y108" i="1"/>
  <c r="U105" i="1"/>
  <c r="U125" i="1" s="1"/>
  <c r="U108" i="1"/>
  <c r="Q105" i="1"/>
  <c r="Q125" i="1" s="1"/>
  <c r="Q108" i="1"/>
  <c r="M105" i="1"/>
  <c r="M125" i="1" s="1"/>
  <c r="M108" i="1"/>
  <c r="I105" i="1"/>
  <c r="I125" i="1" s="1"/>
  <c r="I108" i="1"/>
  <c r="E105" i="1"/>
  <c r="E125" i="1" s="1"/>
  <c r="E108" i="1"/>
  <c r="BK105" i="1"/>
  <c r="BK125" i="1" s="1"/>
  <c r="BC105" i="1"/>
  <c r="BC125" i="1" s="1"/>
  <c r="BC119" i="1"/>
  <c r="AU105" i="1"/>
  <c r="AU125" i="1" s="1"/>
  <c r="AU119" i="1"/>
  <c r="AM105" i="1"/>
  <c r="AM125" i="1" s="1"/>
  <c r="AM119" i="1"/>
  <c r="AI105" i="1"/>
  <c r="AI125" i="1" s="1"/>
  <c r="AI119" i="1"/>
  <c r="AA105" i="1"/>
  <c r="AA125" i="1" s="1"/>
  <c r="AA119" i="1"/>
  <c r="O105" i="1"/>
  <c r="O125" i="1" s="1"/>
  <c r="O119" i="1"/>
  <c r="G105" i="1"/>
  <c r="G125" i="1" s="1"/>
  <c r="G119" i="1"/>
  <c r="BG119" i="1"/>
  <c r="BK119" i="1"/>
  <c r="AR105" i="1"/>
  <c r="AR125" i="1" s="1"/>
  <c r="BO119" i="1"/>
  <c r="AO105" i="1"/>
  <c r="AO125" i="1" s="1"/>
  <c r="BL105" i="1"/>
  <c r="BL125" i="1" s="1"/>
  <c r="BL110" i="1"/>
  <c r="BD105" i="1"/>
  <c r="BD125" i="1" s="1"/>
  <c r="BD110" i="1"/>
  <c r="AV105" i="1"/>
  <c r="AV125" i="1" s="1"/>
  <c r="AV110" i="1"/>
  <c r="AN105" i="1"/>
  <c r="AN125" i="1" s="1"/>
  <c r="AN110" i="1"/>
  <c r="AF105" i="1"/>
  <c r="AF125" i="1" s="1"/>
  <c r="AF110" i="1"/>
  <c r="X105" i="1"/>
  <c r="X125" i="1" s="1"/>
  <c r="X110" i="1"/>
  <c r="P105" i="1"/>
  <c r="P125" i="1" s="1"/>
  <c r="P110" i="1"/>
  <c r="H105" i="1"/>
  <c r="H125" i="1" s="1"/>
  <c r="H110" i="1"/>
  <c r="BN105" i="1"/>
  <c r="BN125" i="1" s="1"/>
  <c r="BJ105" i="1"/>
  <c r="BJ125" i="1" s="1"/>
  <c r="BF105" i="1"/>
  <c r="BF125" i="1" s="1"/>
  <c r="BB105" i="1"/>
  <c r="BB125" i="1" s="1"/>
  <c r="AX105" i="1"/>
  <c r="AX125" i="1" s="1"/>
  <c r="AT105" i="1"/>
  <c r="AT125" i="1" s="1"/>
  <c r="AP105" i="1"/>
  <c r="AP125" i="1" s="1"/>
  <c r="AL105" i="1"/>
  <c r="AL125" i="1" s="1"/>
  <c r="AH105" i="1"/>
  <c r="AH125" i="1" s="1"/>
  <c r="AD105" i="1"/>
  <c r="AD125" i="1" s="1"/>
  <c r="Z105" i="1"/>
  <c r="Z125" i="1" s="1"/>
  <c r="V105" i="1"/>
  <c r="V125" i="1" s="1"/>
  <c r="R105" i="1"/>
  <c r="R125" i="1" s="1"/>
  <c r="N105" i="1"/>
  <c r="N125" i="1" s="1"/>
  <c r="J105" i="1"/>
  <c r="J125" i="1" s="1"/>
  <c r="F105" i="1"/>
  <c r="F125" i="1" s="1"/>
</calcChain>
</file>

<file path=xl/sharedStrings.xml><?xml version="1.0" encoding="utf-8"?>
<sst xmlns="http://schemas.openxmlformats.org/spreadsheetml/2006/main" count="193" uniqueCount="30">
  <si>
    <t>CU</t>
  </si>
  <si>
    <t>Reconstructed and expanded Escapements by CU</t>
  </si>
  <si>
    <t>Distribution of reconstructed Escapement of CU by Area</t>
  </si>
  <si>
    <t>ISC Chum</t>
  </si>
  <si>
    <t>CU Areas</t>
  </si>
  <si>
    <t>Southern Coastal Streams</t>
  </si>
  <si>
    <t>Area 12</t>
  </si>
  <si>
    <t>North East Vancouver Island</t>
  </si>
  <si>
    <t>Area 13</t>
  </si>
  <si>
    <t>Upper Knight</t>
  </si>
  <si>
    <t>Loughborough</t>
  </si>
  <si>
    <t>Bute Inlet</t>
  </si>
  <si>
    <t>Georgia Strait</t>
  </si>
  <si>
    <t>Area 14</t>
  </si>
  <si>
    <t>Area 15</t>
  </si>
  <si>
    <t>Area 16</t>
  </si>
  <si>
    <t>Area 17</t>
  </si>
  <si>
    <t>Area 18</t>
  </si>
  <si>
    <t>Area 19</t>
  </si>
  <si>
    <t>Area 29</t>
  </si>
  <si>
    <t>Howe Sound-Burrard Inlet</t>
  </si>
  <si>
    <t>Area 28</t>
  </si>
  <si>
    <t>Total Aggregate</t>
  </si>
  <si>
    <t>Catch by CU</t>
  </si>
  <si>
    <t>Total Stock</t>
  </si>
  <si>
    <t>Exploitation</t>
  </si>
  <si>
    <t>Inner South Coast Return Year reconstructions</t>
  </si>
  <si>
    <t>Howe Sound to Burrard Inlet</t>
  </si>
  <si>
    <t>Updated with total reconstructed escapement</t>
  </si>
  <si>
    <t>Source file:  ISC_Chum_Trends_01Oct2019(SEGs)Falls_CUs_MSC(Masternewtest).xlsx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</si>
</sst>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_)"/>
  </numFmts>
  <fonts count="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2" borderId="0" xfId="0" applyFont="1" applyFill="1"/>
    <xf numFmtId="0" fontId="4" fillId="0" borderId="0" xfId="0" applyFont="1"/>
    <xf numFmtId="3" fontId="0" fillId="0" borderId="0" xfId="0" applyNumberFormat="1"/>
    <xf numFmtId="0" fontId="0" fillId="0" borderId="0" xfId="0" applyFill="1" applyBorder="1"/>
    <xf numFmtId="0" fontId="2" fillId="0" borderId="0" xfId="0" applyFont="1"/>
    <xf numFmtId="0" fontId="5" fillId="3" borderId="1" xfId="0" applyFont="1" applyFill="1" applyBorder="1" applyAlignment="1">
      <alignment horizontal="center" wrapText="1"/>
    </xf>
    <xf numFmtId="0" fontId="0" fillId="2" borderId="0" xfId="0" applyFill="1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/>
    <xf numFmtId="0" fontId="6" fillId="0" borderId="0" xfId="0" applyFont="1" applyFill="1" applyBorder="1"/>
    <xf numFmtId="0" fontId="0" fillId="0" borderId="0" xfId="0" applyFill="1"/>
    <xf numFmtId="0" fontId="6" fillId="0" borderId="2" xfId="0" applyFont="1" applyFill="1" applyBorder="1"/>
    <xf numFmtId="43" fontId="0" fillId="0" borderId="0" xfId="0" applyNumberFormat="1"/>
    <xf numFmtId="3" fontId="0" fillId="0" borderId="0" xfId="0" applyNumberFormat="1" applyBorder="1" applyAlignment="1">
      <alignment horizontal="center"/>
    </xf>
    <xf numFmtId="37" fontId="0" fillId="0" borderId="0" xfId="0" applyNumberFormat="1" applyBorder="1" applyAlignment="1" applyProtection="1">
      <alignment horizontal="center"/>
    </xf>
    <xf numFmtId="3" fontId="0" fillId="2" borderId="0" xfId="0" applyNumberFormat="1" applyFill="1"/>
    <xf numFmtId="0" fontId="3" fillId="0" borderId="3" xfId="3" applyFont="1" applyBorder="1" applyAlignment="1">
      <alignment horizontal="center" wrapText="1"/>
    </xf>
    <xf numFmtId="0" fontId="3" fillId="0" borderId="0" xfId="3" applyFont="1" applyBorder="1" applyAlignment="1">
      <alignment horizontal="center" wrapText="1"/>
    </xf>
    <xf numFmtId="0" fontId="6" fillId="5" borderId="3" xfId="3" applyFont="1" applyFill="1" applyBorder="1" applyAlignment="1">
      <alignment horizontal="center"/>
    </xf>
    <xf numFmtId="0" fontId="6" fillId="5" borderId="0" xfId="3" applyFont="1" applyFill="1" applyBorder="1" applyAlignment="1">
      <alignment horizontal="center"/>
    </xf>
    <xf numFmtId="164" fontId="0" fillId="0" borderId="0" xfId="1" applyNumberFormat="1" applyFont="1"/>
    <xf numFmtId="164" fontId="0" fillId="4" borderId="0" xfId="1" applyNumberFormat="1" applyFont="1" applyFill="1"/>
    <xf numFmtId="0" fontId="5" fillId="2" borderId="0" xfId="3" applyFont="1" applyFill="1" applyBorder="1" applyAlignment="1">
      <alignment horizontal="left"/>
    </xf>
    <xf numFmtId="0" fontId="6" fillId="0" borderId="0" xfId="3" applyFont="1" applyFill="1" applyBorder="1" applyAlignment="1">
      <alignment horizontal="center"/>
    </xf>
    <xf numFmtId="0" fontId="5" fillId="2" borderId="0" xfId="3" applyFont="1" applyFill="1" applyBorder="1" applyAlignment="1">
      <alignment horizontal="center"/>
    </xf>
    <xf numFmtId="165" fontId="0" fillId="0" borderId="0" xfId="0" applyNumberFormat="1" applyBorder="1" applyAlignment="1" applyProtection="1">
      <alignment horizontal="center"/>
    </xf>
    <xf numFmtId="165" fontId="3" fillId="0" borderId="0" xfId="0" applyNumberFormat="1" applyFont="1" applyBorder="1" applyAlignment="1" applyProtection="1">
      <alignment horizontal="center"/>
    </xf>
    <xf numFmtId="0" fontId="6" fillId="2" borderId="0" xfId="3" applyFont="1" applyFill="1" applyBorder="1" applyAlignment="1">
      <alignment horizontal="center"/>
    </xf>
    <xf numFmtId="0" fontId="7" fillId="2" borderId="0" xfId="0" applyFont="1" applyFill="1"/>
    <xf numFmtId="9" fontId="0" fillId="0" borderId="0" xfId="2" applyFont="1"/>
    <xf numFmtId="9" fontId="0" fillId="0" borderId="0" xfId="2" applyFont="1" applyBorder="1" applyAlignment="1">
      <alignment horizontal="center"/>
    </xf>
    <xf numFmtId="9" fontId="0" fillId="0" borderId="0" xfId="2" applyFont="1" applyBorder="1" applyAlignment="1" applyProtection="1">
      <alignment horizontal="center"/>
    </xf>
    <xf numFmtId="9" fontId="0" fillId="0" borderId="0" xfId="2" applyFont="1" applyBorder="1"/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SC_Chum_Trends_01Oct2019(SEGs)Falls_CUs_MSC(Masternewtest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DriveMyDocuments/Chum/Expectations/Expectations/PRO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DriveMyDocuments/Chum/2014/Chum%20Trends/JS12AGE_historical_58-13(Pieter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cker"/>
      <sheetName val="SR"/>
      <sheetName val="Summary"/>
      <sheetName val="Area 11"/>
      <sheetName val="Area 12"/>
      <sheetName val="Area 13"/>
      <sheetName val="Area 14"/>
      <sheetName val="Area 15"/>
      <sheetName val="Area 16"/>
      <sheetName val="Area 17"/>
      <sheetName val="Area 18"/>
      <sheetName val="Area 19"/>
      <sheetName val="Area 20"/>
      <sheetName val="Area 21"/>
      <sheetName val="Area 4b56c"/>
      <sheetName val="Area 7"/>
      <sheetName val="Area 7A"/>
      <sheetName val="Area 28"/>
      <sheetName val="Area 29"/>
      <sheetName val="Vulnerability (2)"/>
      <sheetName val="Vulnerability"/>
      <sheetName val="DR"/>
      <sheetName val="SEGS by CU"/>
      <sheetName val="AgeComp 58-18"/>
      <sheetName val="CNFR"/>
      <sheetName val="Reconstructions(Southern Route)"/>
      <sheetName val="FallCNFRCatchbyArea"/>
      <sheetName val="qry17a Can_US comp"/>
      <sheetName val="qry16Rack_Aleta2"/>
      <sheetName val="rpt16TotalFinal_Aleta2"/>
      <sheetName val="qry17 Final-Pieter"/>
      <sheetName val="READ ME"/>
      <sheetName val="Sheet2"/>
      <sheetName val="Chart1"/>
      <sheetName val="Chum Timing"/>
      <sheetName val="ESC source"/>
      <sheetName val="Aggregate"/>
      <sheetName val="Reconstructions(Northern Route)"/>
      <sheetName val="ForESCgraph"/>
      <sheetName val="qry32 Esc by CU"/>
      <sheetName val="SCS"/>
      <sheetName val="SummerChum"/>
      <sheetName val="NEVI"/>
      <sheetName val="NIMP"/>
      <sheetName val="UK"/>
      <sheetName val="LO"/>
      <sheetName val="Bute"/>
      <sheetName val="GS"/>
      <sheetName val="HoweBur"/>
      <sheetName val="ReconstEscapement"/>
      <sheetName val="LF"/>
      <sheetName val="FraCany"/>
      <sheetName val="Template (2)"/>
      <sheetName val="Sheet3"/>
      <sheetName val="Sheet4"/>
      <sheetName val="Sheet5"/>
      <sheetName val="Sheet6"/>
      <sheetName val="Table5"/>
      <sheetName val="Table6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3">
          <cell r="C3">
            <v>1953</v>
          </cell>
          <cell r="D3">
            <v>1954</v>
          </cell>
          <cell r="E3">
            <v>1955</v>
          </cell>
          <cell r="F3">
            <v>1956</v>
          </cell>
          <cell r="G3">
            <v>1957</v>
          </cell>
          <cell r="H3">
            <v>1958</v>
          </cell>
          <cell r="I3">
            <v>1959</v>
          </cell>
          <cell r="J3">
            <v>1960</v>
          </cell>
          <cell r="K3">
            <v>1961</v>
          </cell>
          <cell r="L3">
            <v>1962</v>
          </cell>
          <cell r="M3">
            <v>1963</v>
          </cell>
          <cell r="N3">
            <v>1964</v>
          </cell>
          <cell r="O3">
            <v>1965</v>
          </cell>
          <cell r="P3">
            <v>1966</v>
          </cell>
          <cell r="Q3">
            <v>1967</v>
          </cell>
          <cell r="R3">
            <v>1968</v>
          </cell>
          <cell r="S3">
            <v>1969</v>
          </cell>
          <cell r="T3">
            <v>1970</v>
          </cell>
          <cell r="U3">
            <v>1971</v>
          </cell>
          <cell r="V3">
            <v>1972</v>
          </cell>
          <cell r="W3">
            <v>1973</v>
          </cell>
          <cell r="X3">
            <v>1974</v>
          </cell>
          <cell r="Y3">
            <v>1975</v>
          </cell>
          <cell r="Z3">
            <v>1976</v>
          </cell>
          <cell r="AA3">
            <v>1977</v>
          </cell>
          <cell r="AB3">
            <v>1978</v>
          </cell>
          <cell r="AC3">
            <v>1979</v>
          </cell>
          <cell r="AD3">
            <v>1980</v>
          </cell>
          <cell r="AE3">
            <v>1981</v>
          </cell>
          <cell r="AF3">
            <v>1982</v>
          </cell>
          <cell r="AG3">
            <v>1983</v>
          </cell>
          <cell r="AH3">
            <v>1984</v>
          </cell>
          <cell r="AI3">
            <v>1985</v>
          </cell>
          <cell r="AJ3">
            <v>1986</v>
          </cell>
          <cell r="AK3">
            <v>1987</v>
          </cell>
          <cell r="AL3">
            <v>1988</v>
          </cell>
          <cell r="AM3">
            <v>1989</v>
          </cell>
          <cell r="AN3">
            <v>1990</v>
          </cell>
          <cell r="AO3">
            <v>1991</v>
          </cell>
          <cell r="AP3">
            <v>1992</v>
          </cell>
          <cell r="AQ3">
            <v>1993</v>
          </cell>
          <cell r="AR3">
            <v>1994</v>
          </cell>
          <cell r="AS3">
            <v>1995</v>
          </cell>
          <cell r="AT3">
            <v>1996</v>
          </cell>
          <cell r="AU3">
            <v>1997</v>
          </cell>
          <cell r="AV3">
            <v>1998</v>
          </cell>
          <cell r="AW3">
            <v>1999</v>
          </cell>
          <cell r="AX3">
            <v>2000</v>
          </cell>
          <cell r="AY3">
            <v>2001</v>
          </cell>
          <cell r="AZ3">
            <v>2002</v>
          </cell>
          <cell r="BA3">
            <v>2003</v>
          </cell>
          <cell r="BB3">
            <v>2004</v>
          </cell>
          <cell r="BC3">
            <v>2005</v>
          </cell>
          <cell r="BD3">
            <v>2006</v>
          </cell>
          <cell r="BE3">
            <v>2007</v>
          </cell>
          <cell r="BF3">
            <v>2008</v>
          </cell>
          <cell r="BG3">
            <v>2009</v>
          </cell>
          <cell r="BH3">
            <v>2010</v>
          </cell>
          <cell r="BI3">
            <v>2011</v>
          </cell>
          <cell r="BJ3">
            <v>2012</v>
          </cell>
        </row>
        <row r="31">
          <cell r="A31" t="str">
            <v xml:space="preserve">CNFR Expanded </v>
          </cell>
          <cell r="C31">
            <v>619743.51575157815</v>
          </cell>
          <cell r="D31">
            <v>802743.27890399564</v>
          </cell>
          <cell r="E31">
            <v>368322.68181786727</v>
          </cell>
          <cell r="F31">
            <v>349294.95521820761</v>
          </cell>
          <cell r="G31">
            <v>820978.6560012491</v>
          </cell>
          <cell r="H31">
            <v>883462.28150955844</v>
          </cell>
          <cell r="I31">
            <v>765008.17932948028</v>
          </cell>
          <cell r="J31">
            <v>441157.6633885887</v>
          </cell>
          <cell r="K31">
            <v>390744.35461163532</v>
          </cell>
          <cell r="L31">
            <v>447956.68634384731</v>
          </cell>
          <cell r="M31">
            <v>433402.99937649746</v>
          </cell>
          <cell r="N31">
            <v>507289.1481040091</v>
          </cell>
          <cell r="O31">
            <v>207370.45391475875</v>
          </cell>
          <cell r="P31">
            <v>540076.16623198276</v>
          </cell>
          <cell r="Q31">
            <v>461384.15523533971</v>
          </cell>
          <cell r="R31">
            <v>1012595.0650408766</v>
          </cell>
          <cell r="S31">
            <v>655813.60504698427</v>
          </cell>
          <cell r="T31">
            <v>868345.15107557899</v>
          </cell>
          <cell r="U31">
            <v>394469.54884146387</v>
          </cell>
          <cell r="V31">
            <v>1404258.9044054444</v>
          </cell>
          <cell r="W31">
            <v>1249033.6279832129</v>
          </cell>
          <cell r="X31">
            <v>840846.52565255633</v>
          </cell>
          <cell r="Y31">
            <v>487036.46839231905</v>
          </cell>
          <cell r="Z31">
            <v>546598.76635040168</v>
          </cell>
          <cell r="AA31">
            <v>887374.9756584221</v>
          </cell>
          <cell r="AB31">
            <v>1103301.2381555003</v>
          </cell>
          <cell r="AC31">
            <v>498961.03353203629</v>
          </cell>
          <cell r="AD31">
            <v>1113587.958741731</v>
          </cell>
          <cell r="AE31">
            <v>922537.58888784098</v>
          </cell>
          <cell r="AF31">
            <v>1089905.5559164567</v>
          </cell>
          <cell r="AG31">
            <v>859750.01917757944</v>
          </cell>
          <cell r="AH31">
            <v>1065615.7596383728</v>
          </cell>
          <cell r="AI31">
            <v>1672808.428026421</v>
          </cell>
          <cell r="AJ31">
            <v>1406615.509792055</v>
          </cell>
          <cell r="AK31">
            <v>951291.17701093247</v>
          </cell>
          <cell r="AL31">
            <v>1058729.3391333751</v>
          </cell>
          <cell r="AM31">
            <v>469547.46425312513</v>
          </cell>
          <cell r="AN31">
            <v>969590.15188150411</v>
          </cell>
          <cell r="AO31">
            <v>911671.21833522362</v>
          </cell>
          <cell r="AP31">
            <v>1272305.3668797966</v>
          </cell>
          <cell r="AQ31">
            <v>1484129.2879971659</v>
          </cell>
          <cell r="AR31">
            <v>1316355.6479731416</v>
          </cell>
          <cell r="AS31">
            <v>626562.07313655107</v>
          </cell>
          <cell r="AT31">
            <v>646947.5423794582</v>
          </cell>
          <cell r="AU31">
            <v>893704.66969402437</v>
          </cell>
          <cell r="AV31">
            <v>1430013.5923178445</v>
          </cell>
          <cell r="AW31">
            <v>622381.58625826356</v>
          </cell>
          <cell r="AX31">
            <v>565695.45314743638</v>
          </cell>
          <cell r="AY31">
            <v>1571498.4077628013</v>
          </cell>
          <cell r="AZ31">
            <v>1599416.3501777165</v>
          </cell>
          <cell r="BA31">
            <v>1507917.0628493601</v>
          </cell>
          <cell r="BB31">
            <v>2284807.6779473457</v>
          </cell>
          <cell r="BC31">
            <v>1017240.3502827246</v>
          </cell>
          <cell r="BD31">
            <v>850678.3877592046</v>
          </cell>
          <cell r="BE31">
            <v>1311081.2181884097</v>
          </cell>
          <cell r="BF31">
            <v>1046983.9370739087</v>
          </cell>
          <cell r="BG31">
            <v>1372870.1560723954</v>
          </cell>
          <cell r="BH31">
            <v>594200.50444407086</v>
          </cell>
          <cell r="BI31">
            <v>1242044.2246987841</v>
          </cell>
          <cell r="BJ31">
            <v>2023111.3893505333</v>
          </cell>
          <cell r="BK31">
            <v>2042113.1380799261</v>
          </cell>
        </row>
        <row r="142">
          <cell r="B142" t="str">
            <v>Total Aggregate</v>
          </cell>
          <cell r="C142" t="e">
            <v>#N/A</v>
          </cell>
          <cell r="D142">
            <v>2878303.1818795926</v>
          </cell>
          <cell r="E142">
            <v>814731.52422580984</v>
          </cell>
          <cell r="F142">
            <v>765381.00437171408</v>
          </cell>
          <cell r="G142">
            <v>1138728.8229900005</v>
          </cell>
          <cell r="H142">
            <v>1773215.0345384376</v>
          </cell>
          <cell r="I142">
            <v>1530975.89494296</v>
          </cell>
          <cell r="J142">
            <v>900771.13480523252</v>
          </cell>
          <cell r="K142">
            <v>629847.29203986493</v>
          </cell>
          <cell r="L142">
            <v>626197.1862116945</v>
          </cell>
          <cell r="M142">
            <v>655024.82740426401</v>
          </cell>
          <cell r="N142">
            <v>586515.06300601584</v>
          </cell>
          <cell r="O142">
            <v>229544.44566696949</v>
          </cell>
          <cell r="P142">
            <v>576287.5268457256</v>
          </cell>
          <cell r="Q142">
            <v>566131.72065002553</v>
          </cell>
          <cell r="R142">
            <v>1444957.860231763</v>
          </cell>
          <cell r="S142">
            <v>1058212.190330684</v>
          </cell>
          <cell r="T142">
            <v>1495736.6804822867</v>
          </cell>
          <cell r="U142">
            <v>480980.52635873388</v>
          </cell>
          <cell r="V142">
            <v>2817558.4148063459</v>
          </cell>
          <cell r="W142">
            <v>3266553.1175637618</v>
          </cell>
          <cell r="X142">
            <v>1100397.71188248</v>
          </cell>
          <cell r="Y142">
            <v>811821.12714249664</v>
          </cell>
          <cell r="Z142">
            <v>1175264.9376180165</v>
          </cell>
          <cell r="AA142">
            <v>994829.53426450712</v>
          </cell>
          <cell r="AB142">
            <v>2038809.7374415293</v>
          </cell>
          <cell r="AC142">
            <v>552158.25494477444</v>
          </cell>
          <cell r="AD142">
            <v>1698961.226698102</v>
          </cell>
          <cell r="AE142">
            <v>1042842.6486531273</v>
          </cell>
          <cell r="AF142">
            <v>2215612.4958068314</v>
          </cell>
          <cell r="AG142">
            <v>1050369.361707781</v>
          </cell>
          <cell r="AH142">
            <v>1277946.2426933022</v>
          </cell>
          <cell r="AI142">
            <v>2784505.3178192675</v>
          </cell>
          <cell r="AJ142">
            <v>2646041.5892950334</v>
          </cell>
          <cell r="AK142">
            <v>1440065.8305836613</v>
          </cell>
          <cell r="AL142">
            <v>2226484.1251015463</v>
          </cell>
          <cell r="AM142">
            <v>897405.03672329336</v>
          </cell>
          <cell r="AN142">
            <v>2077524.4966371236</v>
          </cell>
          <cell r="AO142">
            <v>1619311.11359815</v>
          </cell>
          <cell r="AP142">
            <v>3128717.7827566476</v>
          </cell>
          <cell r="AQ142">
            <v>3273898.6443386707</v>
          </cell>
          <cell r="AR142">
            <v>2876868.309027635</v>
          </cell>
          <cell r="AS142">
            <v>908922.35493719438</v>
          </cell>
          <cell r="AT142">
            <v>797980.99213934387</v>
          </cell>
          <cell r="AU142">
            <v>1073076.014447937</v>
          </cell>
          <cell r="AV142">
            <v>3381357.7049538661</v>
          </cell>
          <cell r="AW142">
            <v>744116.48869954632</v>
          </cell>
          <cell r="AX142">
            <v>703277.67383363051</v>
          </cell>
          <cell r="AY142">
            <v>1962560.8254500041</v>
          </cell>
          <cell r="AZ142">
            <v>2683299.6524652555</v>
          </cell>
          <cell r="BA142">
            <v>2157316.0305015999</v>
          </cell>
          <cell r="BB142">
            <v>3372315.9664108385</v>
          </cell>
          <cell r="BC142">
            <v>1777745.3977128055</v>
          </cell>
          <cell r="BD142">
            <v>1436302.0954654496</v>
          </cell>
          <cell r="BE142">
            <v>1713488.8455709119</v>
          </cell>
          <cell r="BF142">
            <v>1283945.235878489</v>
          </cell>
          <cell r="BG142">
            <v>1762220.9778501925</v>
          </cell>
          <cell r="BH142">
            <v>635639.5400417184</v>
          </cell>
          <cell r="BI142">
            <v>2142381.3646149021</v>
          </cell>
          <cell r="BJ142">
            <v>2483665.7971874801</v>
          </cell>
          <cell r="BK142">
            <v>2511785.4584490135</v>
          </cell>
        </row>
        <row r="162">
          <cell r="C162" t="e">
            <v>#N/A</v>
          </cell>
          <cell r="D162">
            <v>0.72110537765525207</v>
          </cell>
          <cell r="E162">
            <v>0.54792140617381646</v>
          </cell>
          <cell r="F162">
            <v>0.54363257877697568</v>
          </cell>
          <cell r="G162">
            <v>0.27903936439794674</v>
          </cell>
          <cell r="H162">
            <v>0.50177374751420323</v>
          </cell>
          <cell r="I162">
            <v>0.5003133740665574</v>
          </cell>
          <cell r="J162">
            <v>0.51024444906976585</v>
          </cell>
          <cell r="K162">
            <v>0.37962048968068912</v>
          </cell>
          <cell r="L162">
            <v>0.28463957327267625</v>
          </cell>
          <cell r="M162">
            <v>0.33834111129193489</v>
          </cell>
          <cell r="N162">
            <v>0.13507907963344867</v>
          </cell>
          <cell r="O162">
            <v>9.6599992597431253E-2</v>
          </cell>
          <cell r="P162">
            <v>6.2835579336487604E-2</v>
          </cell>
          <cell r="Q162">
            <v>0.18502331099627492</v>
          </cell>
          <cell r="R162">
            <v>0.29922173309714228</v>
          </cell>
          <cell r="S162">
            <v>0.38026266278217141</v>
          </cell>
          <cell r="T162">
            <v>0.41945319493295496</v>
          </cell>
          <cell r="U162">
            <v>0.17986378403342412</v>
          </cell>
          <cell r="V162">
            <v>0.50160433337387966</v>
          </cell>
          <cell r="W162">
            <v>0.61762947577146443</v>
          </cell>
          <cell r="X162">
            <v>0.2358703434469184</v>
          </cell>
          <cell r="Y162">
            <v>0.40006923679527367</v>
          </cell>
          <cell r="Z162">
            <v>0.53491442750072338</v>
          </cell>
          <cell r="AA162">
            <v>0.10801303630930906</v>
          </cell>
          <cell r="AB162">
            <v>0.45885031943195648</v>
          </cell>
          <cell r="AC162">
            <v>9.6344156654977101E-2</v>
          </cell>
          <cell r="AD162">
            <v>0.34454774997663262</v>
          </cell>
          <cell r="AE162">
            <v>0.11536261958663166</v>
          </cell>
          <cell r="AF162">
            <v>0.50807934240343777</v>
          </cell>
          <cell r="AG162">
            <v>0.18147839177284858</v>
          </cell>
          <cell r="AH162">
            <v>0.16614977685402307</v>
          </cell>
          <cell r="AI162">
            <v>0.3992439456583588</v>
          </cell>
          <cell r="AJ162">
            <v>0.46840763369603361</v>
          </cell>
          <cell r="AK162">
            <v>0.33941132633820442</v>
          </cell>
          <cell r="AL162">
            <v>0.5244837691869515</v>
          </cell>
          <cell r="AM162">
            <v>0.47677197582087355</v>
          </cell>
          <cell r="AN162">
            <v>0.53329544202680912</v>
          </cell>
          <cell r="AO162">
            <v>0.43700057964187822</v>
          </cell>
          <cell r="AP162">
            <v>0.5933460749026731</v>
          </cell>
          <cell r="AQ162">
            <v>0.54667830338499646</v>
          </cell>
          <cell r="AR162">
            <v>0.54243451330656767</v>
          </cell>
          <cell r="AS162">
            <v>0.31065390818795963</v>
          </cell>
          <cell r="AT162">
            <v>0.18926948291709694</v>
          </cell>
          <cell r="AU162">
            <v>0.16715623342507899</v>
          </cell>
          <cell r="AV162">
            <v>0.57708893376681236</v>
          </cell>
          <cell r="AW162">
            <v>0.1635965662500406</v>
          </cell>
          <cell r="AX162">
            <v>0.19563001330075044</v>
          </cell>
          <cell r="AY162">
            <v>0.19926129810398843</v>
          </cell>
          <cell r="AZ162">
            <v>0.40393673561271148</v>
          </cell>
          <cell r="BA162">
            <v>0.30102171330977739</v>
          </cell>
          <cell r="BB162">
            <v>0.32248113738314094</v>
          </cell>
          <cell r="BC162">
            <v>0.42779188088942549</v>
          </cell>
          <cell r="BD162">
            <v>0.40773017706728826</v>
          </cell>
          <cell r="BE162">
            <v>0.23484694891516808</v>
          </cell>
          <cell r="BF162">
            <v>0.18455716971639261</v>
          </cell>
          <cell r="BG162">
            <v>0.22094324529763718</v>
          </cell>
          <cell r="BH162">
            <v>6.5192665004646655E-2</v>
          </cell>
          <cell r="BI162">
            <v>0.42025064014592717</v>
          </cell>
          <cell r="BJ162">
            <v>0.18543332535258242</v>
          </cell>
          <cell r="BK162">
            <v>0.18698743508894347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ood_sa"/>
      <sheetName val="calendar_sa"/>
      <sheetName val="98exp"/>
      <sheetName val="brood_nfr"/>
      <sheetName val="Sheet5"/>
      <sheetName val="Sheet6"/>
      <sheetName val="Sheet7"/>
      <sheetName val="Sheet8"/>
      <sheetName val="Sheet9"/>
      <sheetName val="Sheet10"/>
    </sheetNames>
    <sheetDataSet>
      <sheetData sheetId="0">
        <row r="9">
          <cell r="B9">
            <v>1955</v>
          </cell>
        </row>
        <row r="52">
          <cell r="N52">
            <v>0.22654484136845199</v>
          </cell>
          <cell r="O52">
            <v>0.68703250014212425</v>
          </cell>
          <cell r="P52">
            <v>8.642265848942389E-2</v>
          </cell>
        </row>
        <row r="60">
          <cell r="X60">
            <v>1.7564598918187431</v>
          </cell>
        </row>
        <row r="61">
          <cell r="X61">
            <v>1.4824901329472553</v>
          </cell>
        </row>
        <row r="62">
          <cell r="X62">
            <v>1.924918864723425</v>
          </cell>
        </row>
        <row r="63">
          <cell r="X63">
            <v>2.1465742430662389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AgeComp 58-13"/>
      <sheetName val="2013"/>
      <sheetName val="2012"/>
      <sheetName val="2011"/>
      <sheetName val="2011 comm"/>
      <sheetName val="2010"/>
      <sheetName val="2009"/>
      <sheetName val="2008"/>
      <sheetName val="2007 comm"/>
      <sheetName val="2006 comm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1995"/>
      <sheetName val="1994"/>
      <sheetName val="1993"/>
      <sheetName val="1992"/>
      <sheetName val="1991"/>
      <sheetName val="1990"/>
      <sheetName val="1989"/>
      <sheetName val="1988"/>
      <sheetName val="1987"/>
      <sheetName val="1986"/>
      <sheetName val="1985"/>
      <sheetName val="1984"/>
      <sheetName val="1983"/>
      <sheetName val="1982"/>
      <sheetName val="1981"/>
      <sheetName val="1980"/>
      <sheetName val="1979"/>
      <sheetName val="1978"/>
      <sheetName val="1977"/>
      <sheetName val="1976"/>
      <sheetName val="1975"/>
      <sheetName val="1974"/>
      <sheetName val="1973"/>
      <sheetName val="1972"/>
      <sheetName val="1971"/>
      <sheetName val="1970"/>
      <sheetName val="1969"/>
      <sheetName val="1968"/>
      <sheetName val="1967"/>
      <sheetName val="1966"/>
      <sheetName val="1965com"/>
      <sheetName val="1964com"/>
      <sheetName val="1963com"/>
      <sheetName val="1962com"/>
      <sheetName val="1961com"/>
      <sheetName val="1960com"/>
      <sheetName val="1959com"/>
      <sheetName val="1958co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V193"/>
  <sheetViews>
    <sheetView tabSelected="1" zoomScale="78" zoomScaleNormal="78" workbookViewId="0"/>
  </sheetViews>
  <sheetFormatPr defaultColWidth="9.109375" defaultRowHeight="13.2"/>
  <cols>
    <col min="1" max="2" width="29.33203125" customWidth="1"/>
    <col min="3" max="3" width="12.88671875" bestFit="1" customWidth="1"/>
    <col min="4" max="5" width="11.33203125" bestFit="1" customWidth="1"/>
    <col min="6" max="7" width="12.88671875" bestFit="1" customWidth="1"/>
    <col min="8" max="8" width="13.6640625" bestFit="1" customWidth="1"/>
    <col min="9" max="16" width="11.33203125" bestFit="1" customWidth="1"/>
    <col min="17" max="19" width="12.88671875" bestFit="1" customWidth="1"/>
    <col min="20" max="20" width="11.33203125" bestFit="1" customWidth="1"/>
    <col min="21" max="23" width="12.88671875" bestFit="1" customWidth="1"/>
    <col min="24" max="24" width="11.33203125" bestFit="1" customWidth="1"/>
    <col min="25" max="25" width="13.6640625" bestFit="1" customWidth="1"/>
    <col min="26" max="27" width="12.88671875" bestFit="1" customWidth="1"/>
    <col min="28" max="28" width="11.33203125" bestFit="1" customWidth="1"/>
    <col min="29" max="60" width="12.88671875" bestFit="1" customWidth="1"/>
    <col min="61" max="68" width="12.88671875" customWidth="1"/>
    <col min="69" max="16384" width="9.109375" style="4"/>
  </cols>
  <sheetData>
    <row r="1" spans="1:68" ht="15.6">
      <c r="A1" s="30" t="s">
        <v>26</v>
      </c>
      <c r="B1" s="1"/>
      <c r="C1" t="s">
        <v>29</v>
      </c>
      <c r="D1" s="2"/>
      <c r="AC1" s="3"/>
    </row>
    <row r="2" spans="1:68">
      <c r="A2" s="5"/>
    </row>
    <row r="3" spans="1:68">
      <c r="A3" s="5" t="s">
        <v>0</v>
      </c>
      <c r="B3" s="5"/>
      <c r="C3" s="6">
        <v>1954</v>
      </c>
      <c r="D3" s="6">
        <v>1955</v>
      </c>
      <c r="E3" s="6">
        <v>1956</v>
      </c>
      <c r="F3" s="6">
        <v>1957</v>
      </c>
      <c r="G3" s="6">
        <v>1958</v>
      </c>
      <c r="H3" s="6">
        <v>1959</v>
      </c>
      <c r="I3" s="6">
        <v>1960</v>
      </c>
      <c r="J3" s="6">
        <v>1961</v>
      </c>
      <c r="K3" s="6">
        <v>1962</v>
      </c>
      <c r="L3" s="6">
        <v>1963</v>
      </c>
      <c r="M3" s="6">
        <v>1964</v>
      </c>
      <c r="N3" s="6">
        <v>1965</v>
      </c>
      <c r="O3" s="6">
        <v>1966</v>
      </c>
      <c r="P3" s="6">
        <v>1967</v>
      </c>
      <c r="Q3" s="6">
        <v>1968</v>
      </c>
      <c r="R3" s="6">
        <v>1969</v>
      </c>
      <c r="S3" s="6">
        <v>1970</v>
      </c>
      <c r="T3" s="6">
        <v>1971</v>
      </c>
      <c r="U3" s="6">
        <v>1972</v>
      </c>
      <c r="V3" s="6">
        <v>1973</v>
      </c>
      <c r="W3" s="6">
        <v>1974</v>
      </c>
      <c r="X3" s="6">
        <v>1975</v>
      </c>
      <c r="Y3" s="6">
        <v>1976</v>
      </c>
      <c r="Z3" s="6">
        <v>1977</v>
      </c>
      <c r="AA3" s="6">
        <v>1978</v>
      </c>
      <c r="AB3" s="6">
        <v>1979</v>
      </c>
      <c r="AC3" s="6">
        <v>1980</v>
      </c>
      <c r="AD3" s="6">
        <v>1981</v>
      </c>
      <c r="AE3" s="6">
        <v>1982</v>
      </c>
      <c r="AF3" s="6">
        <v>1983</v>
      </c>
      <c r="AG3" s="6">
        <v>1984</v>
      </c>
      <c r="AH3" s="6">
        <v>1985</v>
      </c>
      <c r="AI3" s="6">
        <v>1986</v>
      </c>
      <c r="AJ3" s="6">
        <v>1987</v>
      </c>
      <c r="AK3" s="6">
        <v>1988</v>
      </c>
      <c r="AL3" s="6">
        <v>1989</v>
      </c>
      <c r="AM3" s="6">
        <v>1990</v>
      </c>
      <c r="AN3" s="6">
        <v>1991</v>
      </c>
      <c r="AO3" s="6">
        <v>1992</v>
      </c>
      <c r="AP3" s="6">
        <v>1993</v>
      </c>
      <c r="AQ3" s="6">
        <v>1994</v>
      </c>
      <c r="AR3" s="6">
        <v>1995</v>
      </c>
      <c r="AS3" s="6">
        <v>1996</v>
      </c>
      <c r="AT3" s="6">
        <v>1997</v>
      </c>
      <c r="AU3" s="6">
        <v>1998</v>
      </c>
      <c r="AV3" s="6">
        <v>1999</v>
      </c>
      <c r="AW3" s="6">
        <v>2000</v>
      </c>
      <c r="AX3" s="6">
        <v>2001</v>
      </c>
      <c r="AY3" s="6">
        <v>2002</v>
      </c>
      <c r="AZ3" s="6">
        <v>2003</v>
      </c>
      <c r="BA3" s="6">
        <v>2004</v>
      </c>
      <c r="BB3" s="6">
        <v>2005</v>
      </c>
      <c r="BC3" s="6">
        <v>2006</v>
      </c>
      <c r="BD3" s="6">
        <v>2007</v>
      </c>
      <c r="BE3" s="6">
        <v>2008</v>
      </c>
      <c r="BF3" s="6">
        <v>2009</v>
      </c>
      <c r="BG3" s="6">
        <v>2010</v>
      </c>
      <c r="BH3" s="6">
        <v>2011</v>
      </c>
      <c r="BI3" s="6">
        <v>2012</v>
      </c>
      <c r="BJ3" s="6">
        <v>2013</v>
      </c>
      <c r="BK3" s="6">
        <v>2014</v>
      </c>
      <c r="BL3" s="6">
        <v>2015</v>
      </c>
      <c r="BM3" s="6">
        <v>2016</v>
      </c>
      <c r="BN3" s="6">
        <v>2017</v>
      </c>
      <c r="BO3" s="6">
        <v>2018</v>
      </c>
    </row>
    <row r="4" spans="1:68">
      <c r="B4" s="12"/>
      <c r="L4" s="8"/>
      <c r="M4" s="15"/>
      <c r="N4" s="15"/>
      <c r="O4" s="16"/>
      <c r="P4" s="9"/>
      <c r="Q4" s="9"/>
    </row>
    <row r="5" spans="1:68">
      <c r="A5" s="1" t="s">
        <v>1</v>
      </c>
      <c r="B5" s="1"/>
      <c r="L5" s="8"/>
      <c r="M5" s="15"/>
      <c r="N5" s="15"/>
      <c r="O5" s="16"/>
      <c r="P5" s="9"/>
      <c r="Q5" s="9"/>
      <c r="BP5" s="3"/>
    </row>
    <row r="6" spans="1:68">
      <c r="A6" s="13" t="s">
        <v>5</v>
      </c>
      <c r="B6" s="11"/>
      <c r="C6" s="3">
        <v>49646.309466041559</v>
      </c>
      <c r="D6" s="3">
        <v>23600.091485941637</v>
      </c>
      <c r="E6" s="3">
        <v>28482.507410471691</v>
      </c>
      <c r="F6" s="3">
        <v>31056.502584412559</v>
      </c>
      <c r="G6" s="3">
        <v>50018.52002576775</v>
      </c>
      <c r="H6" s="3">
        <v>8704.2126754106266</v>
      </c>
      <c r="I6" s="3">
        <v>9644.4515297883227</v>
      </c>
      <c r="J6" s="3">
        <v>14971.249200293811</v>
      </c>
      <c r="K6" s="3">
        <v>9775.6076590757566</v>
      </c>
      <c r="L6" s="3">
        <v>15158.247546518822</v>
      </c>
      <c r="M6" s="3">
        <v>7295.2295963251918</v>
      </c>
      <c r="N6" s="3">
        <v>2063.8067988058165</v>
      </c>
      <c r="O6" s="3">
        <v>16043.47819937169</v>
      </c>
      <c r="P6" s="3">
        <v>18198.271146796815</v>
      </c>
      <c r="Q6" s="3">
        <v>10714.603522977175</v>
      </c>
      <c r="R6" s="3">
        <v>16136.748350354095</v>
      </c>
      <c r="S6" s="3">
        <v>19670.55058369775</v>
      </c>
      <c r="T6" s="3">
        <v>10191.939382398366</v>
      </c>
      <c r="U6" s="3">
        <v>18655.412977523374</v>
      </c>
      <c r="V6" s="3">
        <v>47327.793211341508</v>
      </c>
      <c r="W6" s="3">
        <v>26077.549798019434</v>
      </c>
      <c r="X6" s="3">
        <v>14254.010290709317</v>
      </c>
      <c r="Y6" s="3">
        <v>19905.461365263094</v>
      </c>
      <c r="Z6" s="3">
        <v>48231.69621117683</v>
      </c>
      <c r="AA6" s="3">
        <v>41251.796724187538</v>
      </c>
      <c r="AB6" s="3">
        <v>5493.1630215538971</v>
      </c>
      <c r="AC6" s="3">
        <v>6604.9583479714574</v>
      </c>
      <c r="AD6" s="3">
        <v>15431.737030796974</v>
      </c>
      <c r="AE6" s="3">
        <v>18737.710207192835</v>
      </c>
      <c r="AF6" s="3">
        <v>10174.540892127465</v>
      </c>
      <c r="AG6" s="3">
        <v>14949.495849456405</v>
      </c>
      <c r="AH6" s="3">
        <v>12892.436549763692</v>
      </c>
      <c r="AI6" s="3">
        <v>3088.6898330617814</v>
      </c>
      <c r="AJ6" s="3">
        <v>4113.0305661410912</v>
      </c>
      <c r="AK6" s="3">
        <v>16826.452345539805</v>
      </c>
      <c r="AL6" s="3">
        <v>3252.5257168933972</v>
      </c>
      <c r="AM6" s="3">
        <v>1322.7603625516128</v>
      </c>
      <c r="AN6" s="3">
        <v>3751.2745747557847</v>
      </c>
      <c r="AO6" s="3">
        <v>1209.2657925058245</v>
      </c>
      <c r="AP6" s="3">
        <v>3852.8381961087475</v>
      </c>
      <c r="AQ6" s="3">
        <v>7056.4152877450124</v>
      </c>
      <c r="AR6" s="3">
        <v>2615.7075775906001</v>
      </c>
      <c r="AS6" s="3">
        <v>6818.0416304018099</v>
      </c>
      <c r="AT6" s="3">
        <v>278.17008771445546</v>
      </c>
      <c r="AU6" s="3">
        <v>5978.0233647804907</v>
      </c>
      <c r="AV6" s="3">
        <v>237.56073634724936</v>
      </c>
      <c r="AW6" s="3">
        <v>1425.1562600807622</v>
      </c>
      <c r="AX6" s="3">
        <v>1698.1727687376517</v>
      </c>
      <c r="AY6" s="3">
        <v>1860.3864428814841</v>
      </c>
      <c r="AZ6" s="3">
        <v>625.68877834202749</v>
      </c>
      <c r="BA6" s="3">
        <v>2692.9828217317922</v>
      </c>
      <c r="BB6" s="3">
        <v>1340.6869179337082</v>
      </c>
      <c r="BC6" s="3">
        <v>5393.2157794158875</v>
      </c>
      <c r="BD6" s="3">
        <v>148.88073446964322</v>
      </c>
      <c r="BE6" s="3">
        <v>363.30876891130112</v>
      </c>
      <c r="BF6" s="3">
        <v>909.90004099609132</v>
      </c>
      <c r="BG6" s="3">
        <v>590.88611248269433</v>
      </c>
      <c r="BH6" s="3">
        <v>4683.3964768443893</v>
      </c>
      <c r="BI6" s="3">
        <v>1272.6712988593833</v>
      </c>
      <c r="BJ6" s="3">
        <v>4893.7890939882409</v>
      </c>
      <c r="BK6" s="3">
        <v>1699.2882082035142</v>
      </c>
      <c r="BL6" s="3">
        <v>4664.2531507930935</v>
      </c>
      <c r="BM6" s="3">
        <v>4983.7917232540603</v>
      </c>
      <c r="BN6" s="3">
        <v>1139.845308968082</v>
      </c>
      <c r="BO6" s="3">
        <v>1756.0380888538164</v>
      </c>
      <c r="BP6" s="3"/>
    </row>
    <row r="7" spans="1:68">
      <c r="A7" s="13" t="s">
        <v>7</v>
      </c>
      <c r="B7" s="11"/>
      <c r="C7" s="3">
        <v>62565.448359370312</v>
      </c>
      <c r="D7" s="3">
        <v>26332.647506354464</v>
      </c>
      <c r="E7" s="3">
        <v>21358.101082346373</v>
      </c>
      <c r="F7" s="3">
        <v>40249.884972414045</v>
      </c>
      <c r="G7" s="3">
        <v>48129.304459034218</v>
      </c>
      <c r="H7" s="3">
        <v>21823.655144269673</v>
      </c>
      <c r="I7" s="3">
        <v>25559.18731056228</v>
      </c>
      <c r="J7" s="3">
        <v>27505.93100793405</v>
      </c>
      <c r="K7" s="3">
        <v>17686.342676121276</v>
      </c>
      <c r="L7" s="3">
        <v>11155.885695882525</v>
      </c>
      <c r="M7" s="3">
        <v>23252.115167386572</v>
      </c>
      <c r="N7" s="3">
        <v>16903.418543755815</v>
      </c>
      <c r="O7" s="3">
        <v>12524.272552764682</v>
      </c>
      <c r="P7" s="3">
        <v>9978.5623382484428</v>
      </c>
      <c r="Q7" s="3">
        <v>36364.961363506263</v>
      </c>
      <c r="R7" s="3">
        <v>10784.460711926587</v>
      </c>
      <c r="S7" s="3">
        <v>8827.1772844235002</v>
      </c>
      <c r="T7" s="3">
        <v>3126.2812922401117</v>
      </c>
      <c r="U7" s="3">
        <v>11624.720003317212</v>
      </c>
      <c r="V7" s="3">
        <v>12975.210900059144</v>
      </c>
      <c r="W7" s="3">
        <v>7221.9422088592628</v>
      </c>
      <c r="X7" s="3">
        <v>3822.2539368646676</v>
      </c>
      <c r="Y7" s="3">
        <v>2836.5408992949619</v>
      </c>
      <c r="Z7" s="3">
        <v>2620.7172971014033</v>
      </c>
      <c r="AA7" s="3">
        <v>2412.9694965067561</v>
      </c>
      <c r="AB7" s="3">
        <v>9723.7571348181282</v>
      </c>
      <c r="AC7" s="3">
        <v>4508.3848650109685</v>
      </c>
      <c r="AD7" s="17">
        <v>14114.600071915775</v>
      </c>
      <c r="AE7" s="3">
        <v>1666.9297945402507</v>
      </c>
      <c r="AF7" s="3">
        <v>2535.3631048326065</v>
      </c>
      <c r="AG7" s="3">
        <v>2293.4636149424045</v>
      </c>
      <c r="AH7" s="3">
        <v>2955.0515105409722</v>
      </c>
      <c r="AI7" s="3">
        <v>3907.0011185263575</v>
      </c>
      <c r="AJ7" s="3">
        <v>2570.3162725257639</v>
      </c>
      <c r="AK7" s="3">
        <v>5662.3870422617683</v>
      </c>
      <c r="AL7" s="3">
        <v>2125.3146685654497</v>
      </c>
      <c r="AM7" s="3">
        <v>1035.3237635978148</v>
      </c>
      <c r="AN7" s="3">
        <v>1997.4038712848535</v>
      </c>
      <c r="AO7" s="3">
        <v>1896.1912615490021</v>
      </c>
      <c r="AP7" s="3">
        <v>3413.1442707882038</v>
      </c>
      <c r="AQ7" s="3">
        <v>7284.8739868844395</v>
      </c>
      <c r="AR7" s="3">
        <v>1909.6275426517534</v>
      </c>
      <c r="AS7" s="3">
        <v>2683.6680389939256</v>
      </c>
      <c r="AT7" s="3">
        <v>3107.770515857786</v>
      </c>
      <c r="AU7" s="3">
        <v>6937.9728445791625</v>
      </c>
      <c r="AV7" s="3">
        <v>1280.4195502638104</v>
      </c>
      <c r="AW7" s="3">
        <v>7837.5871389452077</v>
      </c>
      <c r="AX7" s="3">
        <v>2750.7852260177019</v>
      </c>
      <c r="AY7" s="3">
        <v>3346.0770664370743</v>
      </c>
      <c r="AZ7" s="3">
        <v>4977.2324882564262</v>
      </c>
      <c r="BA7" s="3">
        <v>2135.4681695117511</v>
      </c>
      <c r="BB7" s="3">
        <v>4589.8465024320994</v>
      </c>
      <c r="BC7" s="3">
        <v>4438.3393789932388</v>
      </c>
      <c r="BD7" s="3">
        <v>3265.2947424309009</v>
      </c>
      <c r="BE7" s="3">
        <v>4526.7984827340051</v>
      </c>
      <c r="BF7" s="3">
        <v>2989.439498294591</v>
      </c>
      <c r="BG7" s="3">
        <v>1457.6521877282821</v>
      </c>
      <c r="BH7" s="3">
        <v>16620.702977859848</v>
      </c>
      <c r="BI7" s="3">
        <v>4221.1971735845636</v>
      </c>
      <c r="BJ7" s="3">
        <v>3123.6195895653254</v>
      </c>
      <c r="BK7" s="3">
        <v>1289.8098491597777</v>
      </c>
      <c r="BL7" s="3">
        <v>4879.2148899136328</v>
      </c>
      <c r="BM7" s="3">
        <v>13914.218583704849</v>
      </c>
      <c r="BN7" s="3">
        <v>2090.7887245575389</v>
      </c>
      <c r="BO7" s="3">
        <v>1985.9303095701341</v>
      </c>
      <c r="BP7" s="3"/>
    </row>
    <row r="8" spans="1:68">
      <c r="A8" s="13" t="s">
        <v>9</v>
      </c>
      <c r="B8" s="11"/>
      <c r="C8" s="3">
        <v>6500</v>
      </c>
      <c r="D8" s="3">
        <v>4650</v>
      </c>
      <c r="E8" s="3">
        <v>18000</v>
      </c>
      <c r="F8" s="3">
        <v>38900</v>
      </c>
      <c r="G8" s="3">
        <v>40000</v>
      </c>
      <c r="H8" s="3">
        <v>20000</v>
      </c>
      <c r="I8" s="3">
        <v>19250</v>
      </c>
      <c r="J8" s="3">
        <v>42000</v>
      </c>
      <c r="K8" s="3">
        <v>16500</v>
      </c>
      <c r="L8" s="3">
        <v>9750</v>
      </c>
      <c r="M8" s="3">
        <v>16500</v>
      </c>
      <c r="N8" s="3">
        <v>2275</v>
      </c>
      <c r="O8" s="3">
        <v>4342.340354006591</v>
      </c>
      <c r="P8" s="3">
        <v>998.24004811495888</v>
      </c>
      <c r="Q8" s="3">
        <v>1350</v>
      </c>
      <c r="R8" s="3">
        <v>128.80516749870438</v>
      </c>
      <c r="S8" s="3">
        <v>11119.354938506198</v>
      </c>
      <c r="T8" s="3">
        <v>1111.9354938506197</v>
      </c>
      <c r="U8" s="3">
        <v>39804.786578393752</v>
      </c>
      <c r="V8" s="3">
        <v>34237.683560436584</v>
      </c>
      <c r="W8" s="3">
        <v>9185.719979629328</v>
      </c>
      <c r="X8" s="3">
        <v>7775</v>
      </c>
      <c r="Y8" s="3">
        <v>20600</v>
      </c>
      <c r="Z8" s="3">
        <v>1180</v>
      </c>
      <c r="AA8" s="3">
        <v>8895.4839508049572</v>
      </c>
      <c r="AB8" s="17">
        <v>7633.9820995962364</v>
      </c>
      <c r="AC8" s="17">
        <v>17037.62412704411</v>
      </c>
      <c r="AD8" s="3">
        <v>444.77419754024788</v>
      </c>
      <c r="AE8" s="17">
        <v>16675.289140755078</v>
      </c>
      <c r="AF8" s="3">
        <v>1037.8064609272451</v>
      </c>
      <c r="AG8" s="17">
        <v>16303.661182801938</v>
      </c>
      <c r="AH8" s="3">
        <v>15.456620099844525</v>
      </c>
      <c r="AI8" s="3">
        <v>5890.0441454299944</v>
      </c>
      <c r="AJ8" s="3">
        <v>3435.8590848341637</v>
      </c>
      <c r="AK8" s="3">
        <v>2945.0220727149972</v>
      </c>
      <c r="AL8" s="17">
        <v>7183.9616645916249</v>
      </c>
      <c r="AM8" s="3">
        <v>2699.6035666554144</v>
      </c>
      <c r="AN8" s="17">
        <v>13948.347253135405</v>
      </c>
      <c r="AO8" s="3">
        <v>148.2580658467493</v>
      </c>
      <c r="AP8" s="3">
        <v>1114.9006551675548</v>
      </c>
      <c r="AQ8" s="3">
        <v>148.2580658467493</v>
      </c>
      <c r="AR8" s="3">
        <v>237.21290535479886</v>
      </c>
      <c r="AS8" s="17">
        <v>9898.1395860554185</v>
      </c>
      <c r="AT8" s="3">
        <v>2223.8709877012393</v>
      </c>
      <c r="AU8" s="3">
        <v>14148.267223755285</v>
      </c>
      <c r="AV8" s="3">
        <v>131.94967860360688</v>
      </c>
      <c r="AW8" s="3">
        <v>3716.8297107780049</v>
      </c>
      <c r="AX8" s="3">
        <v>515.93806914668755</v>
      </c>
      <c r="AY8" s="3">
        <v>3706.4516461687326</v>
      </c>
      <c r="AZ8" s="3">
        <v>7578.9523260858241</v>
      </c>
      <c r="BA8" s="17">
        <v>34957.00013085315</v>
      </c>
      <c r="BB8" s="17">
        <v>15563.529220056203</v>
      </c>
      <c r="BC8" s="17">
        <v>13015.171823533119</v>
      </c>
      <c r="BD8" s="17">
        <v>20059.222821303643</v>
      </c>
      <c r="BE8" s="17">
        <v>16018.598842496174</v>
      </c>
      <c r="BF8" s="17">
        <v>21004.578498520372</v>
      </c>
      <c r="BG8" s="17">
        <v>9091.1227724275268</v>
      </c>
      <c r="BH8" s="17">
        <v>19002.973661366235</v>
      </c>
      <c r="BI8" s="17">
        <v>30953.110751883087</v>
      </c>
      <c r="BJ8" s="17">
        <v>31243.83287227467</v>
      </c>
      <c r="BK8" s="17">
        <v>13933.007012591104</v>
      </c>
      <c r="BL8" s="17">
        <v>15856.78430556391</v>
      </c>
      <c r="BM8" s="17">
        <v>42045.108466562291</v>
      </c>
      <c r="BN8" s="17">
        <v>14049.071792532819</v>
      </c>
      <c r="BO8" s="17">
        <v>11095.221261476767</v>
      </c>
      <c r="BP8" s="3"/>
    </row>
    <row r="9" spans="1:68">
      <c r="A9" s="13" t="s">
        <v>10</v>
      </c>
      <c r="B9" s="11"/>
      <c r="C9" s="3">
        <v>33399.972575149302</v>
      </c>
      <c r="D9" s="3">
        <v>10664.296561023248</v>
      </c>
      <c r="E9" s="3">
        <v>14990.696686019426</v>
      </c>
      <c r="F9" s="3">
        <v>56670.699050541749</v>
      </c>
      <c r="G9" s="3">
        <v>38411.513075183269</v>
      </c>
      <c r="H9" s="3">
        <v>23961.310557826138</v>
      </c>
      <c r="I9" s="3">
        <v>8602.4316794980605</v>
      </c>
      <c r="J9" s="3">
        <v>24633.228766401273</v>
      </c>
      <c r="K9" s="3">
        <v>20694.760947318489</v>
      </c>
      <c r="L9" s="3">
        <v>64272.107061234827</v>
      </c>
      <c r="M9" s="3">
        <v>114507.74766799501</v>
      </c>
      <c r="N9" s="3">
        <v>5522.1553478111118</v>
      </c>
      <c r="O9" s="3">
        <v>32380.984123959839</v>
      </c>
      <c r="P9" s="3">
        <v>68290.172408536862</v>
      </c>
      <c r="Q9" s="3">
        <v>92450.397814371361</v>
      </c>
      <c r="R9" s="3">
        <v>24100.120282242104</v>
      </c>
      <c r="S9" s="3">
        <v>157625.30587324844</v>
      </c>
      <c r="T9" s="3">
        <v>20067.137697288497</v>
      </c>
      <c r="U9" s="3">
        <v>83725.27744029212</v>
      </c>
      <c r="V9" s="3">
        <v>132054.83747450533</v>
      </c>
      <c r="W9" s="3">
        <v>32498.602243291931</v>
      </c>
      <c r="X9" s="3">
        <v>21104.777404201141</v>
      </c>
      <c r="Y9" s="3">
        <v>16620.870992091212</v>
      </c>
      <c r="Z9" s="3">
        <v>34891.215903237979</v>
      </c>
      <c r="AA9" s="3">
        <v>20789.536046741923</v>
      </c>
      <c r="AB9" s="3">
        <v>13263.262890768692</v>
      </c>
      <c r="AC9" s="3">
        <v>17349.871720120173</v>
      </c>
      <c r="AD9" s="3">
        <v>22924.707618006738</v>
      </c>
      <c r="AE9" s="3">
        <v>50682.901795799982</v>
      </c>
      <c r="AF9" s="3">
        <v>17121.050902639934</v>
      </c>
      <c r="AG9" s="3">
        <v>22871.137194600466</v>
      </c>
      <c r="AH9" s="3">
        <v>50848.857821772966</v>
      </c>
      <c r="AI9" s="3">
        <v>40583.547564195746</v>
      </c>
      <c r="AJ9" s="3">
        <v>19398.316310461727</v>
      </c>
      <c r="AK9" s="3">
        <v>92298.070341428422</v>
      </c>
      <c r="AL9" s="3">
        <v>12645.961915802838</v>
      </c>
      <c r="AM9" s="3">
        <v>106964.62094800186</v>
      </c>
      <c r="AN9" s="3">
        <v>15746.02239772879</v>
      </c>
      <c r="AO9" s="3">
        <v>38975.43986251676</v>
      </c>
      <c r="AP9" s="3">
        <v>23772.750145561684</v>
      </c>
      <c r="AQ9" s="3">
        <v>17782.438742157803</v>
      </c>
      <c r="AR9" s="3">
        <v>28622.26972024202</v>
      </c>
      <c r="AS9" s="3">
        <v>15575.581663741552</v>
      </c>
      <c r="AT9" s="3">
        <v>8272.6117602732993</v>
      </c>
      <c r="AU9" s="3">
        <v>46359.362999180172</v>
      </c>
      <c r="AV9" s="3">
        <v>7810.9711631669134</v>
      </c>
      <c r="AW9" s="3">
        <v>4850.0122291386215</v>
      </c>
      <c r="AX9" s="3">
        <v>49620.888684012854</v>
      </c>
      <c r="AY9" s="3">
        <v>48422.880007745502</v>
      </c>
      <c r="AZ9" s="3">
        <v>14762.882467504929</v>
      </c>
      <c r="BA9" s="3">
        <v>17933.110872705864</v>
      </c>
      <c r="BB9" s="3">
        <v>18252.06982389019</v>
      </c>
      <c r="BC9" s="3">
        <v>11632.006513152442</v>
      </c>
      <c r="BD9" s="3">
        <v>27377.728237102689</v>
      </c>
      <c r="BE9" s="3">
        <v>23013.372834662587</v>
      </c>
      <c r="BF9" s="3">
        <v>40119.18529749928</v>
      </c>
      <c r="BG9" s="3">
        <v>3758.2828181817677</v>
      </c>
      <c r="BH9" s="3">
        <v>71095.618246015059</v>
      </c>
      <c r="BI9" s="3">
        <v>34445.304522505488</v>
      </c>
      <c r="BJ9" s="3">
        <v>18440.776766306975</v>
      </c>
      <c r="BK9" s="3">
        <v>10476.24206645292</v>
      </c>
      <c r="BL9" s="3">
        <v>16801.63993607794</v>
      </c>
      <c r="BM9" s="3">
        <v>19472.233233991894</v>
      </c>
      <c r="BN9" s="3">
        <v>9463.7220252799143</v>
      </c>
      <c r="BO9" s="3">
        <v>9569.5933717404732</v>
      </c>
      <c r="BP9" s="3"/>
    </row>
    <row r="10" spans="1:68">
      <c r="A10" s="13" t="s">
        <v>11</v>
      </c>
      <c r="B10" s="11"/>
      <c r="C10" s="3">
        <v>18000</v>
      </c>
      <c r="D10" s="3">
        <v>7950</v>
      </c>
      <c r="E10" s="3">
        <v>4850</v>
      </c>
      <c r="F10" s="3">
        <v>89500</v>
      </c>
      <c r="G10" s="3">
        <v>20750</v>
      </c>
      <c r="H10" s="3">
        <v>16150</v>
      </c>
      <c r="I10" s="3">
        <v>5600</v>
      </c>
      <c r="J10" s="3">
        <v>8150</v>
      </c>
      <c r="K10" s="3">
        <v>8500</v>
      </c>
      <c r="L10" s="3">
        <v>8150</v>
      </c>
      <c r="M10" s="3">
        <v>23446.18424778487</v>
      </c>
      <c r="N10" s="3">
        <v>2662.0121853380201</v>
      </c>
      <c r="O10" s="3">
        <v>12150</v>
      </c>
      <c r="P10" s="3">
        <v>11275</v>
      </c>
      <c r="Q10" s="3">
        <v>19146.010717623452</v>
      </c>
      <c r="R10" s="3">
        <v>7998.9414977357683</v>
      </c>
      <c r="S10" s="3">
        <v>11225</v>
      </c>
      <c r="T10" s="3">
        <v>5194.1178556725763</v>
      </c>
      <c r="U10" s="3">
        <v>155823.53567017731</v>
      </c>
      <c r="V10" s="3">
        <v>44150.0017732169</v>
      </c>
      <c r="W10" s="3">
        <v>43718.430889974406</v>
      </c>
      <c r="X10" s="3">
        <v>7271.7649979416074</v>
      </c>
      <c r="Y10" s="3">
        <v>15582.35356701773</v>
      </c>
      <c r="Z10" s="3">
        <v>88300.0035464338</v>
      </c>
      <c r="AA10" s="3">
        <v>176600.0070928676</v>
      </c>
      <c r="AB10" s="3">
        <v>36358.824989708039</v>
      </c>
      <c r="AC10" s="3">
        <v>148483.9681456332</v>
      </c>
      <c r="AD10" s="3">
        <v>131151.47585573257</v>
      </c>
      <c r="AE10" s="3">
        <v>207764.71422690307</v>
      </c>
      <c r="AF10" s="3">
        <v>85517.141453983888</v>
      </c>
      <c r="AG10" s="3">
        <v>109076.47496912412</v>
      </c>
      <c r="AH10" s="3">
        <v>79470.003191790427</v>
      </c>
      <c r="AI10" s="3">
        <v>274392.02525791898</v>
      </c>
      <c r="AJ10" s="3">
        <v>82586.473905193969</v>
      </c>
      <c r="AK10" s="3">
        <v>112712.35746809491</v>
      </c>
      <c r="AL10" s="3">
        <v>22854.118564959339</v>
      </c>
      <c r="AM10" s="3">
        <v>12465.882853614185</v>
      </c>
      <c r="AN10" s="3">
        <v>44934.155609948604</v>
      </c>
      <c r="AO10" s="3">
        <v>197376.47851555792</v>
      </c>
      <c r="AP10" s="3">
        <v>200492.94922896146</v>
      </c>
      <c r="AQ10" s="3">
        <v>106479.41604128783</v>
      </c>
      <c r="AR10" s="3">
        <v>59212.943554667378</v>
      </c>
      <c r="AS10" s="3">
        <v>24572.420172350954</v>
      </c>
      <c r="AT10" s="3">
        <v>27797.550319972015</v>
      </c>
      <c r="AU10" s="3">
        <v>20686.22170121286</v>
      </c>
      <c r="AV10" s="3">
        <v>10392.086031223424</v>
      </c>
      <c r="AW10" s="3">
        <v>10343.11085060643</v>
      </c>
      <c r="AX10" s="3">
        <v>51715.554253032147</v>
      </c>
      <c r="AY10" s="3">
        <v>58772.141630858387</v>
      </c>
      <c r="AZ10" s="3">
        <v>34500.73913105407</v>
      </c>
      <c r="BA10" s="3">
        <v>1247.5836145821024</v>
      </c>
      <c r="BB10" s="17">
        <v>56921.239715601951</v>
      </c>
      <c r="BC10" s="17">
        <v>47601.010338476524</v>
      </c>
      <c r="BD10" s="3">
        <v>507.49163983000773</v>
      </c>
      <c r="BE10" s="17">
        <v>58585.587608675814</v>
      </c>
      <c r="BF10" s="17">
        <v>76821.049450578212</v>
      </c>
      <c r="BG10" s="17">
        <v>33249.398082952699</v>
      </c>
      <c r="BH10" s="17">
        <v>69500.484356336208</v>
      </c>
      <c r="BI10" s="17">
        <v>113206.29223229298</v>
      </c>
      <c r="BJ10" s="17">
        <v>114269.56414648787</v>
      </c>
      <c r="BK10" s="17">
        <v>50957.852869311944</v>
      </c>
      <c r="BL10" s="17">
        <v>57993.775564250755</v>
      </c>
      <c r="BM10" s="17">
        <v>153773.58592995495</v>
      </c>
      <c r="BN10" s="17">
        <v>51382.342139591798</v>
      </c>
      <c r="BO10" s="17">
        <v>40579.083329525296</v>
      </c>
      <c r="BP10" s="3"/>
    </row>
    <row r="11" spans="1:68">
      <c r="A11" s="13" t="s">
        <v>12</v>
      </c>
      <c r="B11" s="11"/>
      <c r="C11" s="3">
        <v>536194.19228588266</v>
      </c>
      <c r="D11" s="3">
        <v>253692.9314201065</v>
      </c>
      <c r="E11" s="3">
        <v>240891.69099304575</v>
      </c>
      <c r="F11" s="3">
        <v>453017.15354269469</v>
      </c>
      <c r="G11" s="3">
        <v>562844.89772096882</v>
      </c>
      <c r="H11" s="3">
        <v>418952.41056461941</v>
      </c>
      <c r="I11" s="3">
        <v>287922.71181206231</v>
      </c>
      <c r="J11" s="3">
        <v>223473.20924444043</v>
      </c>
      <c r="K11" s="3">
        <v>295164.01562484947</v>
      </c>
      <c r="L11" s="3">
        <v>257234.27022116541</v>
      </c>
      <c r="M11" s="3">
        <v>261906.69163271811</v>
      </c>
      <c r="N11" s="3">
        <v>152382.98062169421</v>
      </c>
      <c r="O11" s="3">
        <v>419778.95119765995</v>
      </c>
      <c r="P11" s="3">
        <v>288963.75497030973</v>
      </c>
      <c r="Q11" s="3">
        <v>675294.73290701944</v>
      </c>
      <c r="R11" s="3">
        <v>486842.79750431055</v>
      </c>
      <c r="S11" s="3">
        <v>478042.10140501778</v>
      </c>
      <c r="T11" s="3">
        <v>294270.44414987171</v>
      </c>
      <c r="U11" s="3">
        <v>632829.03484116949</v>
      </c>
      <c r="V11" s="3">
        <v>618243.0226502989</v>
      </c>
      <c r="W11" s="3">
        <v>519691.92565218598</v>
      </c>
      <c r="X11" s="3">
        <v>334212.60210586898</v>
      </c>
      <c r="Y11" s="3">
        <v>295294.54344889231</v>
      </c>
      <c r="Z11" s="3">
        <v>515504.30503611424</v>
      </c>
      <c r="AA11" s="3">
        <v>669476.64437618374</v>
      </c>
      <c r="AB11" s="3">
        <v>373081.62665062968</v>
      </c>
      <c r="AC11" s="3">
        <v>585810.64712351735</v>
      </c>
      <c r="AD11" s="3">
        <v>537065.6874485265</v>
      </c>
      <c r="AE11" s="3">
        <v>600027.23872554139</v>
      </c>
      <c r="AF11" s="3">
        <v>595983.52289634629</v>
      </c>
      <c r="AG11" s="3">
        <v>689151.64641273057</v>
      </c>
      <c r="AH11" s="3">
        <v>1082457.7215302733</v>
      </c>
      <c r="AI11" s="3">
        <v>793977.43843009777</v>
      </c>
      <c r="AJ11" s="3">
        <v>725396.03062015667</v>
      </c>
      <c r="AK11" s="3">
        <v>692723.15823864576</v>
      </c>
      <c r="AL11" s="3">
        <v>336415.80242210918</v>
      </c>
      <c r="AM11" s="3">
        <v>715173.18993926444</v>
      </c>
      <c r="AN11" s="3">
        <v>665038.21547907172</v>
      </c>
      <c r="AO11" s="3">
        <v>822551.07838589838</v>
      </c>
      <c r="AP11" s="3">
        <v>1101339.1715256269</v>
      </c>
      <c r="AQ11" s="3">
        <v>874994.63002237456</v>
      </c>
      <c r="AR11" s="3">
        <v>406915.3330786553</v>
      </c>
      <c r="AS11" s="3">
        <v>390046.00721154385</v>
      </c>
      <c r="AT11" s="3">
        <v>565521.6192521893</v>
      </c>
      <c r="AU11" s="3">
        <v>1217533.8907229744</v>
      </c>
      <c r="AV11" s="3">
        <v>528910.39284880424</v>
      </c>
      <c r="AW11" s="3">
        <v>204601.29039522726</v>
      </c>
      <c r="AX11" s="3">
        <v>894857.77712626243</v>
      </c>
      <c r="AY11" s="3">
        <v>891400.64772821753</v>
      </c>
      <c r="AZ11" s="3">
        <v>770497.96164457698</v>
      </c>
      <c r="BA11" s="3">
        <v>952514.18815198052</v>
      </c>
      <c r="BB11" s="3">
        <v>603683.00170304067</v>
      </c>
      <c r="BC11" s="3">
        <v>718809.06131138769</v>
      </c>
      <c r="BD11" s="3">
        <v>630783.69744187978</v>
      </c>
      <c r="BE11" s="3">
        <v>484330.59993250843</v>
      </c>
      <c r="BF11" s="3">
        <v>516837.41649398755</v>
      </c>
      <c r="BG11" s="3">
        <v>314159.90080821264</v>
      </c>
      <c r="BH11" s="3">
        <v>826370.34145734226</v>
      </c>
      <c r="BI11" s="3">
        <v>881636.97958041099</v>
      </c>
      <c r="BJ11" s="3">
        <v>713880.05028909806</v>
      </c>
      <c r="BK11" s="3">
        <v>541162.04685323569</v>
      </c>
      <c r="BL11" s="3">
        <v>485955.92193414213</v>
      </c>
      <c r="BM11" s="3">
        <v>1114331.4052980698</v>
      </c>
      <c r="BN11" s="3">
        <v>591392.82260230614</v>
      </c>
      <c r="BO11" s="3">
        <v>541945.91890375956</v>
      </c>
      <c r="BP11" s="3"/>
    </row>
    <row r="12" spans="1:68">
      <c r="A12" s="13" t="s">
        <v>27</v>
      </c>
      <c r="B12" s="11"/>
      <c r="C12" s="3">
        <v>96437.356217551744</v>
      </c>
      <c r="D12" s="3">
        <v>41432.714844441449</v>
      </c>
      <c r="E12" s="3">
        <v>20721.959046324348</v>
      </c>
      <c r="F12" s="3">
        <v>111584.41585118597</v>
      </c>
      <c r="G12" s="3">
        <v>123308.04622860435</v>
      </c>
      <c r="H12" s="3">
        <v>255416.59038735446</v>
      </c>
      <c r="I12" s="3">
        <v>84578.88105667771</v>
      </c>
      <c r="J12" s="3">
        <v>50010.736392565741</v>
      </c>
      <c r="K12" s="3">
        <v>79635.95943648227</v>
      </c>
      <c r="L12" s="3">
        <v>67682.488851695874</v>
      </c>
      <c r="M12" s="3">
        <v>60381.179791799332</v>
      </c>
      <c r="N12" s="3">
        <v>25561.080417353784</v>
      </c>
      <c r="O12" s="3">
        <v>42856.139804220024</v>
      </c>
      <c r="P12" s="3">
        <v>63680.15432333287</v>
      </c>
      <c r="Q12" s="3">
        <v>177274.35871537897</v>
      </c>
      <c r="R12" s="3">
        <v>109821.73153291641</v>
      </c>
      <c r="S12" s="3">
        <v>181835.66099068531</v>
      </c>
      <c r="T12" s="3">
        <v>60507.692970142023</v>
      </c>
      <c r="U12" s="3">
        <v>461796.13689457113</v>
      </c>
      <c r="V12" s="3">
        <v>360045.07841335452</v>
      </c>
      <c r="W12" s="3">
        <v>202452.3548805959</v>
      </c>
      <c r="X12" s="3">
        <v>98596.059656733385</v>
      </c>
      <c r="Y12" s="3">
        <v>175758.99607784237</v>
      </c>
      <c r="Z12" s="3">
        <v>196647.03766435781</v>
      </c>
      <c r="AA12" s="3">
        <v>183874.80046820783</v>
      </c>
      <c r="AB12" s="3">
        <v>53406.416744961614</v>
      </c>
      <c r="AC12" s="3">
        <v>333792.50441243366</v>
      </c>
      <c r="AD12" s="3">
        <v>201404.60666532224</v>
      </c>
      <c r="AE12" s="3">
        <v>194350.77202572429</v>
      </c>
      <c r="AF12" s="3">
        <v>147380.59346672206</v>
      </c>
      <c r="AG12" s="3">
        <v>210969.88041471681</v>
      </c>
      <c r="AH12" s="3">
        <v>444168.90080217976</v>
      </c>
      <c r="AI12" s="3">
        <v>284776.76344282436</v>
      </c>
      <c r="AJ12" s="3">
        <v>113791.15025161907</v>
      </c>
      <c r="AK12" s="3">
        <v>135561.89162468945</v>
      </c>
      <c r="AL12" s="3">
        <v>85069.779300203314</v>
      </c>
      <c r="AM12" s="3">
        <v>129928.77044781882</v>
      </c>
      <c r="AN12" s="3">
        <v>166255.79914929852</v>
      </c>
      <c r="AO12" s="3">
        <v>210148.65499592206</v>
      </c>
      <c r="AP12" s="3">
        <v>150143.53397495142</v>
      </c>
      <c r="AQ12" s="3">
        <v>302609.61582684505</v>
      </c>
      <c r="AR12" s="3">
        <v>127048.97875738921</v>
      </c>
      <c r="AS12" s="3">
        <v>197353.68407637064</v>
      </c>
      <c r="AT12" s="3">
        <v>286503.07677031617</v>
      </c>
      <c r="AU12" s="3">
        <v>118369.85346136216</v>
      </c>
      <c r="AV12" s="3">
        <v>73618.206249854265</v>
      </c>
      <c r="AW12" s="3">
        <v>332921.46656266012</v>
      </c>
      <c r="AX12" s="3">
        <v>570339.29163559177</v>
      </c>
      <c r="AY12" s="3">
        <v>591907.7656554078</v>
      </c>
      <c r="AZ12" s="3">
        <v>674973.60601353995</v>
      </c>
      <c r="BA12" s="3">
        <v>1273327.3441859805</v>
      </c>
      <c r="BB12" s="3">
        <v>316889.97639976983</v>
      </c>
      <c r="BC12" s="3">
        <v>49789.582614245664</v>
      </c>
      <c r="BD12" s="3">
        <v>628938.90257139306</v>
      </c>
      <c r="BE12" s="3">
        <v>460145.67060392041</v>
      </c>
      <c r="BF12" s="3">
        <v>714188.58679251943</v>
      </c>
      <c r="BG12" s="3">
        <v>231893.26166208531</v>
      </c>
      <c r="BH12" s="3">
        <v>234770.70752302007</v>
      </c>
      <c r="BI12" s="3">
        <v>957375.83379099681</v>
      </c>
      <c r="BJ12" s="3">
        <v>1156261.5053222049</v>
      </c>
      <c r="BK12" s="3">
        <v>291150.32538976701</v>
      </c>
      <c r="BL12" s="3">
        <v>450256.06514646229</v>
      </c>
      <c r="BM12" s="3">
        <v>1399569.7756228992</v>
      </c>
      <c r="BN12" s="3">
        <v>248736.03393238175</v>
      </c>
      <c r="BO12" s="3">
        <v>118257.6369353042</v>
      </c>
      <c r="BP12" s="3"/>
    </row>
    <row r="13" spans="1:68">
      <c r="L13" s="8"/>
      <c r="M13" s="15"/>
      <c r="N13" s="15"/>
      <c r="O13" s="16"/>
      <c r="P13" s="9"/>
      <c r="Q13" s="9"/>
      <c r="BP13" s="3"/>
    </row>
    <row r="14" spans="1:68">
      <c r="C14" s="3">
        <f t="shared" ref="C14:AG14" si="0">SUM(C6:C12)</f>
        <v>802743.27890399564</v>
      </c>
      <c r="D14" s="3">
        <f t="shared" si="0"/>
        <v>368322.68181786727</v>
      </c>
      <c r="E14" s="3">
        <f t="shared" si="0"/>
        <v>349294.95521820761</v>
      </c>
      <c r="F14" s="3">
        <f t="shared" si="0"/>
        <v>820978.6560012491</v>
      </c>
      <c r="G14" s="3">
        <f t="shared" si="0"/>
        <v>883462.28150955844</v>
      </c>
      <c r="H14" s="3">
        <f t="shared" si="0"/>
        <v>765008.17932948028</v>
      </c>
      <c r="I14" s="3">
        <f t="shared" si="0"/>
        <v>441157.6633885887</v>
      </c>
      <c r="J14" s="3">
        <f t="shared" si="0"/>
        <v>390744.35461163532</v>
      </c>
      <c r="K14" s="3">
        <f t="shared" si="0"/>
        <v>447956.68634384731</v>
      </c>
      <c r="L14" s="3">
        <f t="shared" si="0"/>
        <v>433402.99937649746</v>
      </c>
      <c r="M14" s="3">
        <f t="shared" si="0"/>
        <v>507289.1481040091</v>
      </c>
      <c r="N14" s="3">
        <f t="shared" si="0"/>
        <v>207370.45391475875</v>
      </c>
      <c r="O14" s="3">
        <f t="shared" si="0"/>
        <v>540076.16623198276</v>
      </c>
      <c r="P14" s="3">
        <f t="shared" si="0"/>
        <v>461384.15523533971</v>
      </c>
      <c r="Q14" s="3">
        <f t="shared" si="0"/>
        <v>1012595.0650408766</v>
      </c>
      <c r="R14" s="3">
        <f t="shared" si="0"/>
        <v>655813.60504698427</v>
      </c>
      <c r="S14" s="3">
        <f t="shared" si="0"/>
        <v>868345.15107557899</v>
      </c>
      <c r="T14" s="3">
        <f t="shared" si="0"/>
        <v>394469.54884146387</v>
      </c>
      <c r="U14" s="3">
        <f t="shared" si="0"/>
        <v>1404258.9044054444</v>
      </c>
      <c r="V14" s="3">
        <f t="shared" si="0"/>
        <v>1249033.6279832129</v>
      </c>
      <c r="W14" s="3">
        <f t="shared" si="0"/>
        <v>840846.52565255633</v>
      </c>
      <c r="X14" s="3">
        <f t="shared" si="0"/>
        <v>487036.46839231905</v>
      </c>
      <c r="Y14" s="3">
        <f t="shared" si="0"/>
        <v>546598.76635040168</v>
      </c>
      <c r="Z14" s="3">
        <f t="shared" si="0"/>
        <v>887374.9756584221</v>
      </c>
      <c r="AA14" s="3">
        <f t="shared" si="0"/>
        <v>1103301.2381555003</v>
      </c>
      <c r="AB14" s="3">
        <f t="shared" si="0"/>
        <v>498961.03353203629</v>
      </c>
      <c r="AC14" s="3">
        <f t="shared" si="0"/>
        <v>1113587.958741731</v>
      </c>
      <c r="AD14" s="3">
        <f t="shared" si="0"/>
        <v>922537.58888784109</v>
      </c>
      <c r="AE14" s="3">
        <f t="shared" si="0"/>
        <v>1089905.555916457</v>
      </c>
      <c r="AF14" s="3">
        <f t="shared" si="0"/>
        <v>859750.01917757944</v>
      </c>
      <c r="AG14" s="3">
        <f t="shared" si="0"/>
        <v>1065615.7596383728</v>
      </c>
      <c r="AH14" s="3">
        <f t="shared" ref="AH14:BI14" si="1">SUM(AH6:AH12)</f>
        <v>1672808.428026421</v>
      </c>
      <c r="AI14" s="3">
        <f t="shared" si="1"/>
        <v>1406615.509792055</v>
      </c>
      <c r="AJ14" s="3">
        <f t="shared" si="1"/>
        <v>951291.17701093247</v>
      </c>
      <c r="AK14" s="3">
        <f t="shared" si="1"/>
        <v>1058729.3391333751</v>
      </c>
      <c r="AL14" s="3">
        <f t="shared" si="1"/>
        <v>469547.46425312513</v>
      </c>
      <c r="AM14" s="3">
        <f t="shared" si="1"/>
        <v>969590.15188150411</v>
      </c>
      <c r="AN14" s="3">
        <f t="shared" si="1"/>
        <v>911671.21833522362</v>
      </c>
      <c r="AO14" s="3">
        <f t="shared" si="1"/>
        <v>1272305.3668797966</v>
      </c>
      <c r="AP14" s="3">
        <f t="shared" si="1"/>
        <v>1484129.2879971659</v>
      </c>
      <c r="AQ14" s="3">
        <f t="shared" si="1"/>
        <v>1316355.6479731416</v>
      </c>
      <c r="AR14" s="3">
        <f t="shared" si="1"/>
        <v>626562.07313655107</v>
      </c>
      <c r="AS14" s="3">
        <f t="shared" si="1"/>
        <v>646947.5423794582</v>
      </c>
      <c r="AT14" s="3">
        <f t="shared" si="1"/>
        <v>893704.66969402437</v>
      </c>
      <c r="AU14" s="3">
        <f t="shared" si="1"/>
        <v>1430013.5923178445</v>
      </c>
      <c r="AV14" s="3">
        <f t="shared" si="1"/>
        <v>622381.58625826356</v>
      </c>
      <c r="AW14" s="3">
        <f t="shared" si="1"/>
        <v>565695.45314743638</v>
      </c>
      <c r="AX14" s="3">
        <f t="shared" si="1"/>
        <v>1571498.4077628013</v>
      </c>
      <c r="AY14" s="3">
        <f t="shared" si="1"/>
        <v>1599416.3501777165</v>
      </c>
      <c r="AZ14" s="3">
        <f t="shared" si="1"/>
        <v>1507917.0628493601</v>
      </c>
      <c r="BA14" s="3">
        <f t="shared" si="1"/>
        <v>2284807.6779473457</v>
      </c>
      <c r="BB14" s="3">
        <f t="shared" si="1"/>
        <v>1017240.3502827247</v>
      </c>
      <c r="BC14" s="3">
        <f t="shared" si="1"/>
        <v>850678.3877592046</v>
      </c>
      <c r="BD14" s="3">
        <f t="shared" si="1"/>
        <v>1311081.2181884097</v>
      </c>
      <c r="BE14" s="3">
        <f t="shared" si="1"/>
        <v>1046983.9370739087</v>
      </c>
      <c r="BF14" s="3">
        <f t="shared" si="1"/>
        <v>1372870.1560723954</v>
      </c>
      <c r="BG14" s="3">
        <f t="shared" si="1"/>
        <v>594200.50444407086</v>
      </c>
      <c r="BH14" s="3">
        <f t="shared" si="1"/>
        <v>1242044.2246987841</v>
      </c>
      <c r="BI14" s="3">
        <f t="shared" si="1"/>
        <v>2023111.3893505333</v>
      </c>
      <c r="BJ14" s="3">
        <f>SUM(BJ6:BJ12)</f>
        <v>2042113.1380799259</v>
      </c>
      <c r="BK14" s="3">
        <f t="shared" ref="BK14:BO14" si="2">SUM(BK6:BK12)</f>
        <v>910668.57224872196</v>
      </c>
      <c r="BL14" s="3">
        <f t="shared" si="2"/>
        <v>1036407.6549272038</v>
      </c>
      <c r="BM14" s="3">
        <f t="shared" si="2"/>
        <v>2748090.1188584371</v>
      </c>
      <c r="BN14" s="3">
        <f t="shared" si="2"/>
        <v>918254.62652561814</v>
      </c>
      <c r="BO14" s="3">
        <f t="shared" si="2"/>
        <v>725189.42220023018</v>
      </c>
      <c r="BP14" s="3"/>
    </row>
    <row r="15" spans="1:68">
      <c r="A15" s="1" t="s">
        <v>2</v>
      </c>
      <c r="B15" s="7"/>
      <c r="L15" s="8"/>
      <c r="M15" s="15"/>
      <c r="N15" s="15"/>
      <c r="O15" s="16"/>
      <c r="P15" s="9"/>
      <c r="Q15" s="9"/>
      <c r="BP15" s="3"/>
    </row>
    <row r="16" spans="1:68">
      <c r="A16" s="18" t="s">
        <v>3</v>
      </c>
      <c r="B16" s="19" t="s">
        <v>4</v>
      </c>
      <c r="C16" s="6">
        <v>1954</v>
      </c>
      <c r="D16" s="6">
        <v>1955</v>
      </c>
      <c r="E16" s="6">
        <v>1956</v>
      </c>
      <c r="F16" s="6">
        <v>1957</v>
      </c>
      <c r="G16" s="6">
        <v>1958</v>
      </c>
      <c r="H16" s="6">
        <v>1959</v>
      </c>
      <c r="I16" s="6">
        <v>1960</v>
      </c>
      <c r="J16" s="6">
        <v>1961</v>
      </c>
      <c r="K16" s="6">
        <v>1962</v>
      </c>
      <c r="L16" s="6">
        <v>1963</v>
      </c>
      <c r="M16" s="6">
        <v>1964</v>
      </c>
      <c r="N16" s="6">
        <v>1965</v>
      </c>
      <c r="O16" s="6">
        <v>1966</v>
      </c>
      <c r="P16" s="6">
        <v>1967</v>
      </c>
      <c r="Q16" s="6">
        <v>1968</v>
      </c>
      <c r="R16" s="6">
        <v>1969</v>
      </c>
      <c r="S16" s="6">
        <v>1970</v>
      </c>
      <c r="T16" s="6">
        <v>1971</v>
      </c>
      <c r="U16" s="6">
        <v>1972</v>
      </c>
      <c r="V16" s="6">
        <v>1973</v>
      </c>
      <c r="W16" s="6">
        <v>1974</v>
      </c>
      <c r="X16" s="6">
        <v>1975</v>
      </c>
      <c r="Y16" s="6">
        <v>1976</v>
      </c>
      <c r="Z16" s="6">
        <v>1977</v>
      </c>
      <c r="AA16" s="6">
        <v>1978</v>
      </c>
      <c r="AB16" s="6">
        <v>1979</v>
      </c>
      <c r="AC16" s="6">
        <v>1980</v>
      </c>
      <c r="AD16" s="6">
        <v>1981</v>
      </c>
      <c r="AE16" s="6">
        <v>1982</v>
      </c>
      <c r="AF16" s="6">
        <v>1983</v>
      </c>
      <c r="AG16" s="6">
        <v>1984</v>
      </c>
      <c r="AH16" s="6">
        <v>1985</v>
      </c>
      <c r="AI16" s="6">
        <v>1986</v>
      </c>
      <c r="AJ16" s="6">
        <v>1987</v>
      </c>
      <c r="AK16" s="6">
        <v>1988</v>
      </c>
      <c r="AL16" s="6">
        <v>1989</v>
      </c>
      <c r="AM16" s="6">
        <v>1990</v>
      </c>
      <c r="AN16" s="6">
        <v>1991</v>
      </c>
      <c r="AO16" s="6">
        <v>1992</v>
      </c>
      <c r="AP16" s="6">
        <v>1993</v>
      </c>
      <c r="AQ16" s="6">
        <v>1994</v>
      </c>
      <c r="AR16" s="6">
        <v>1995</v>
      </c>
      <c r="AS16" s="6">
        <v>1996</v>
      </c>
      <c r="AT16" s="6">
        <v>1997</v>
      </c>
      <c r="AU16" s="6">
        <v>1998</v>
      </c>
      <c r="AV16" s="6">
        <v>1999</v>
      </c>
      <c r="AW16" s="6">
        <v>2000</v>
      </c>
      <c r="AX16" s="6">
        <v>2001</v>
      </c>
      <c r="AY16" s="6">
        <v>2002</v>
      </c>
      <c r="AZ16" s="6">
        <v>2003</v>
      </c>
      <c r="BA16" s="6">
        <v>2004</v>
      </c>
      <c r="BB16" s="6">
        <v>2005</v>
      </c>
      <c r="BC16" s="6">
        <v>2006</v>
      </c>
      <c r="BD16" s="6">
        <v>2007</v>
      </c>
      <c r="BE16" s="6">
        <v>2008</v>
      </c>
      <c r="BF16" s="6">
        <v>2009</v>
      </c>
      <c r="BG16" s="6">
        <v>2010</v>
      </c>
      <c r="BH16" s="6">
        <v>2011</v>
      </c>
      <c r="BI16" s="6">
        <v>2012</v>
      </c>
      <c r="BJ16" s="6">
        <v>2013</v>
      </c>
      <c r="BK16" s="6">
        <v>2014</v>
      </c>
      <c r="BL16" s="6">
        <v>2015</v>
      </c>
      <c r="BM16" s="6">
        <v>2016</v>
      </c>
      <c r="BN16" s="6">
        <v>2017</v>
      </c>
      <c r="BO16" s="6">
        <v>2018</v>
      </c>
      <c r="BP16" s="3"/>
    </row>
    <row r="17" spans="1:68">
      <c r="A17" s="20" t="s">
        <v>5</v>
      </c>
      <c r="B17" s="21" t="s">
        <v>6</v>
      </c>
      <c r="C17" s="3">
        <v>49646.309466041559</v>
      </c>
      <c r="D17" s="3">
        <v>23600.091485941637</v>
      </c>
      <c r="E17" s="3">
        <v>28482.507410471691</v>
      </c>
      <c r="F17" s="3">
        <v>31056.502584412559</v>
      </c>
      <c r="G17" s="3">
        <v>50018.52002576775</v>
      </c>
      <c r="H17" s="3">
        <v>8704.2126754106266</v>
      </c>
      <c r="I17" s="3">
        <v>9644.4515297883227</v>
      </c>
      <c r="J17" s="3">
        <v>14971.249200293811</v>
      </c>
      <c r="K17" s="3">
        <v>9775.6076590757566</v>
      </c>
      <c r="L17" s="3">
        <v>15158.247546518822</v>
      </c>
      <c r="M17" s="3">
        <v>7295.2295963251918</v>
      </c>
      <c r="N17" s="3">
        <v>2063.8067988058165</v>
      </c>
      <c r="O17" s="3">
        <v>16043.47819937169</v>
      </c>
      <c r="P17" s="3">
        <v>18198.271146796815</v>
      </c>
      <c r="Q17" s="3">
        <v>10714.603522977175</v>
      </c>
      <c r="R17" s="3">
        <v>16136.748350354095</v>
      </c>
      <c r="S17" s="3">
        <v>19670.55058369775</v>
      </c>
      <c r="T17" s="3">
        <v>10191.939382398366</v>
      </c>
      <c r="U17" s="3">
        <v>18655.412977523374</v>
      </c>
      <c r="V17" s="3">
        <v>47327.793211341508</v>
      </c>
      <c r="W17" s="3">
        <v>26077.549798019434</v>
      </c>
      <c r="X17" s="3">
        <v>14254.010290709317</v>
      </c>
      <c r="Y17" s="3">
        <v>19905.461365263094</v>
      </c>
      <c r="Z17" s="3">
        <v>48231.69621117683</v>
      </c>
      <c r="AA17" s="3">
        <v>41251.796724187538</v>
      </c>
      <c r="AB17" s="3">
        <v>5493.1630215538971</v>
      </c>
      <c r="AC17" s="3">
        <v>6604.9583479714574</v>
      </c>
      <c r="AD17" s="3">
        <v>15431.737030796974</v>
      </c>
      <c r="AE17" s="3">
        <v>18737.710207192835</v>
      </c>
      <c r="AF17" s="3">
        <v>10174.540892127465</v>
      </c>
      <c r="AG17" s="3">
        <v>14949.495849456405</v>
      </c>
      <c r="AH17" s="3">
        <v>12892.436549763692</v>
      </c>
      <c r="AI17" s="3">
        <v>3088.6898330617814</v>
      </c>
      <c r="AJ17" s="3">
        <v>4113.0305661410912</v>
      </c>
      <c r="AK17" s="3">
        <v>16826.452345539805</v>
      </c>
      <c r="AL17" s="3">
        <v>3252.5257168933972</v>
      </c>
      <c r="AM17" s="3">
        <v>1322.7603625516128</v>
      </c>
      <c r="AN17" s="3">
        <v>3751.2745747557847</v>
      </c>
      <c r="AO17" s="3">
        <v>1209.2657925058245</v>
      </c>
      <c r="AP17" s="3">
        <v>3852.8381961087475</v>
      </c>
      <c r="AQ17" s="3">
        <v>7056.4152877450124</v>
      </c>
      <c r="AR17" s="3">
        <v>2615.7075775906001</v>
      </c>
      <c r="AS17" s="3">
        <v>6818.0416304018099</v>
      </c>
      <c r="AT17" s="3">
        <v>278.17008771445546</v>
      </c>
      <c r="AU17" s="3">
        <v>5978.0233647804907</v>
      </c>
      <c r="AV17" s="3">
        <v>237.56073634724936</v>
      </c>
      <c r="AW17" s="3">
        <v>1425.1562600807622</v>
      </c>
      <c r="AX17" s="3">
        <v>1698.1727687376517</v>
      </c>
      <c r="AY17" s="3">
        <v>1860.3864428814841</v>
      </c>
      <c r="AZ17" s="3">
        <v>625.68877834202749</v>
      </c>
      <c r="BA17" s="3">
        <v>2692.9828217317922</v>
      </c>
      <c r="BB17" s="3">
        <v>1340.6869179337082</v>
      </c>
      <c r="BC17" s="3">
        <v>5393.2157794158875</v>
      </c>
      <c r="BD17" s="3">
        <v>148.88073446964322</v>
      </c>
      <c r="BE17" s="3">
        <v>363.30876891130112</v>
      </c>
      <c r="BF17" s="3">
        <v>909.90004099609132</v>
      </c>
      <c r="BG17" s="3">
        <v>590.88611248269433</v>
      </c>
      <c r="BH17" s="3">
        <v>4683.3964768443893</v>
      </c>
      <c r="BI17" s="3">
        <v>1272.6712988593833</v>
      </c>
      <c r="BJ17" s="3">
        <v>4893.7890939882409</v>
      </c>
      <c r="BK17" s="3">
        <v>1699.2882082035142</v>
      </c>
      <c r="BL17" s="3">
        <v>4664.2531507930935</v>
      </c>
      <c r="BM17" s="3">
        <v>4983.7917232540603</v>
      </c>
      <c r="BN17" s="3">
        <v>1139.845308968082</v>
      </c>
      <c r="BO17" s="3">
        <v>1756.0380888538164</v>
      </c>
      <c r="BP17" s="3"/>
    </row>
    <row r="18" spans="1:68">
      <c r="A18" s="20" t="s">
        <v>7</v>
      </c>
      <c r="B18" s="21" t="s">
        <v>6</v>
      </c>
      <c r="C18" s="22">
        <v>58689.252182428041</v>
      </c>
      <c r="D18" s="22">
        <v>25250.483910202911</v>
      </c>
      <c r="E18" s="22">
        <v>20343.526244086315</v>
      </c>
      <c r="F18" s="22">
        <v>35495.090868529966</v>
      </c>
      <c r="G18" s="22">
        <v>44112.212905760498</v>
      </c>
      <c r="H18" s="22">
        <v>20461.752768447666</v>
      </c>
      <c r="I18" s="22">
        <v>24128.354785810709</v>
      </c>
      <c r="J18" s="22">
        <v>25322.043018359389</v>
      </c>
      <c r="K18" s="22">
        <v>11803.88068472411</v>
      </c>
      <c r="L18" s="22">
        <v>7644.6706760629249</v>
      </c>
      <c r="M18" s="22">
        <v>21695.204981506249</v>
      </c>
      <c r="N18" s="22">
        <v>16120.852870433788</v>
      </c>
      <c r="O18" s="22">
        <v>7385.2368042117823</v>
      </c>
      <c r="P18" s="22">
        <v>5430.1943887212456</v>
      </c>
      <c r="Q18" s="22">
        <v>32537.0706936635</v>
      </c>
      <c r="R18" s="22">
        <v>9322.1609543772192</v>
      </c>
      <c r="S18" s="22">
        <v>5254.975105777201</v>
      </c>
      <c r="T18" s="22">
        <v>1094.1984522840389</v>
      </c>
      <c r="U18" s="22">
        <v>9627.4855006434973</v>
      </c>
      <c r="V18" s="22">
        <v>5622.5913900256292</v>
      </c>
      <c r="W18" s="22">
        <v>4325.441322953141</v>
      </c>
      <c r="X18" s="22">
        <v>714.73041095843371</v>
      </c>
      <c r="Y18" s="22">
        <v>908.99164727048856</v>
      </c>
      <c r="Z18" s="22">
        <v>455.29410669982008</v>
      </c>
      <c r="AA18" s="22">
        <v>482.59389930135126</v>
      </c>
      <c r="AB18" s="22">
        <v>6170.7670957681376</v>
      </c>
      <c r="AC18" s="22">
        <v>2861.0538698516257</v>
      </c>
      <c r="AD18" s="22">
        <v>8957.2280021094448</v>
      </c>
      <c r="AE18" s="22">
        <v>1057.8457878459665</v>
      </c>
      <c r="AF18" s="22">
        <v>1408.5350582403371</v>
      </c>
      <c r="AG18" s="22">
        <v>1455.4487133118571</v>
      </c>
      <c r="AH18" s="22">
        <v>2472.0142443948516</v>
      </c>
      <c r="AI18" s="22">
        <v>2669.8965617102972</v>
      </c>
      <c r="AJ18" s="22">
        <v>1827.4502978073351</v>
      </c>
      <c r="AK18" s="22">
        <v>3910.4882888548123</v>
      </c>
      <c r="AL18" s="22">
        <v>1163.6338230607214</v>
      </c>
      <c r="AM18" s="22">
        <v>657.02400063036123</v>
      </c>
      <c r="AN18" s="22">
        <v>1775.4701078087585</v>
      </c>
      <c r="AO18" s="22">
        <v>1769.7785107790687</v>
      </c>
      <c r="AP18" s="22">
        <v>2654.6677661686031</v>
      </c>
      <c r="AQ18" s="22">
        <v>5518.8439294579084</v>
      </c>
      <c r="AR18" s="22">
        <v>1211.8635463624637</v>
      </c>
      <c r="AS18" s="22">
        <v>2644.4904033881749</v>
      </c>
      <c r="AT18" s="22">
        <v>2984.9337365748697</v>
      </c>
      <c r="AU18" s="22">
        <v>4751.5913865370549</v>
      </c>
      <c r="AV18" s="22">
        <v>1152.3775952374294</v>
      </c>
      <c r="AW18" s="22">
        <v>399.13638207591333</v>
      </c>
      <c r="AX18" s="22">
        <v>305.64280289085576</v>
      </c>
      <c r="AY18" s="22">
        <v>2412.2308159365948</v>
      </c>
      <c r="AZ18" s="22">
        <v>3667.4344650310509</v>
      </c>
      <c r="BA18" s="22">
        <v>988.15142005357427</v>
      </c>
      <c r="BB18" s="22">
        <v>2566.69047833374</v>
      </c>
      <c r="BC18" s="22">
        <v>3422.9827099687891</v>
      </c>
      <c r="BD18" s="22">
        <v>1719.1834509618523</v>
      </c>
      <c r="BE18" s="22">
        <v>2511.4693366400215</v>
      </c>
      <c r="BF18" s="22">
        <v>908.63588056520621</v>
      </c>
      <c r="BG18" s="22">
        <v>984.58828511461797</v>
      </c>
      <c r="BH18" s="22">
        <v>2356.1508541414119</v>
      </c>
      <c r="BI18" s="22">
        <v>2254.8421665652031</v>
      </c>
      <c r="BJ18" s="22">
        <v>1578.3895165956421</v>
      </c>
      <c r="BK18" s="22">
        <v>907.95824907958047</v>
      </c>
      <c r="BL18" s="22">
        <v>568.53460456384937</v>
      </c>
      <c r="BM18" s="22">
        <v>5044.9213578345061</v>
      </c>
      <c r="BN18" s="22">
        <v>33.722398783186108</v>
      </c>
      <c r="BO18" s="22">
        <v>1701.4734482523959</v>
      </c>
      <c r="BP18" s="3"/>
    </row>
    <row r="19" spans="1:68">
      <c r="A19" s="20" t="s">
        <v>7</v>
      </c>
      <c r="B19" s="21" t="s">
        <v>8</v>
      </c>
      <c r="C19" s="22">
        <v>3876.1961769422705</v>
      </c>
      <c r="D19" s="22">
        <v>1082.1635961515531</v>
      </c>
      <c r="E19" s="22">
        <v>1014.5748382600577</v>
      </c>
      <c r="F19" s="22">
        <v>4754.79410388408</v>
      </c>
      <c r="G19" s="22">
        <v>4017.0915532737199</v>
      </c>
      <c r="H19" s="22">
        <v>1361.9023758220064</v>
      </c>
      <c r="I19" s="22">
        <v>1430.8325247515713</v>
      </c>
      <c r="J19" s="22">
        <v>2183.8879895746613</v>
      </c>
      <c r="K19" s="22">
        <v>5882.4619913971655</v>
      </c>
      <c r="L19" s="22">
        <v>3511.2150198196005</v>
      </c>
      <c r="M19" s="22">
        <v>1556.9101858803224</v>
      </c>
      <c r="N19" s="22">
        <v>782.56567332202758</v>
      </c>
      <c r="O19" s="22">
        <v>5139.0357485528993</v>
      </c>
      <c r="P19" s="22">
        <v>4548.3679495271972</v>
      </c>
      <c r="Q19" s="22">
        <v>3827.8906698427636</v>
      </c>
      <c r="R19" s="22">
        <v>1462.2997575493682</v>
      </c>
      <c r="S19" s="22">
        <v>3572.2021786462992</v>
      </c>
      <c r="T19" s="22">
        <v>2032.0828399560728</v>
      </c>
      <c r="U19" s="22">
        <v>1997.2345026737148</v>
      </c>
      <c r="V19" s="22">
        <v>7352.6195100335153</v>
      </c>
      <c r="W19" s="22">
        <v>2896.5008859061218</v>
      </c>
      <c r="X19" s="22">
        <v>3107.5235259062338</v>
      </c>
      <c r="Y19" s="22">
        <v>1927.5492520244734</v>
      </c>
      <c r="Z19" s="22">
        <v>2165.4231904015833</v>
      </c>
      <c r="AA19" s="22">
        <v>1930.3755972054048</v>
      </c>
      <c r="AB19" s="22">
        <v>3552.9900390499906</v>
      </c>
      <c r="AC19" s="22">
        <v>1647.3309951593428</v>
      </c>
      <c r="AD19" s="22">
        <v>5157.3720698063298</v>
      </c>
      <c r="AE19" s="22">
        <v>609.0840066942842</v>
      </c>
      <c r="AF19" s="22">
        <v>1126.8280465922694</v>
      </c>
      <c r="AG19" s="22">
        <v>838.01490163054746</v>
      </c>
      <c r="AH19" s="22">
        <v>483.0372661461206</v>
      </c>
      <c r="AI19" s="22">
        <v>1237.1045568160603</v>
      </c>
      <c r="AJ19" s="22">
        <v>742.86597471842879</v>
      </c>
      <c r="AK19" s="22">
        <v>1751.8987534069561</v>
      </c>
      <c r="AL19" s="22">
        <v>961.68084550472827</v>
      </c>
      <c r="AM19" s="22">
        <v>378.2997629674536</v>
      </c>
      <c r="AN19" s="22">
        <v>221.93376347609501</v>
      </c>
      <c r="AO19" s="22">
        <v>126.41275076993338</v>
      </c>
      <c r="AP19" s="22">
        <v>758.47650461960075</v>
      </c>
      <c r="AQ19" s="22">
        <v>1766.0300574265311</v>
      </c>
      <c r="AR19" s="22">
        <v>697.76399628928971</v>
      </c>
      <c r="AS19" s="22">
        <v>39.177635605750766</v>
      </c>
      <c r="AT19" s="22">
        <v>122.83677928291627</v>
      </c>
      <c r="AU19" s="22">
        <v>2186.3814580421076</v>
      </c>
      <c r="AV19" s="22">
        <v>128.04195502638095</v>
      </c>
      <c r="AW19" s="22">
        <v>7438.4507568692943</v>
      </c>
      <c r="AX19" s="22">
        <v>2445.1424231268461</v>
      </c>
      <c r="AY19" s="22">
        <v>933.84625050047953</v>
      </c>
      <c r="AZ19" s="22">
        <v>1309.7980232253753</v>
      </c>
      <c r="BA19" s="22">
        <v>1147.3167494581767</v>
      </c>
      <c r="BB19" s="22">
        <v>2023.1560240983595</v>
      </c>
      <c r="BC19" s="22">
        <v>1015.3566690244497</v>
      </c>
      <c r="BD19" s="22">
        <v>1546.1112914690486</v>
      </c>
      <c r="BE19" s="22">
        <v>2015.3291460939836</v>
      </c>
      <c r="BF19" s="22">
        <v>2080.8036177293848</v>
      </c>
      <c r="BG19" s="22">
        <v>473.06390261366414</v>
      </c>
      <c r="BH19" s="22">
        <v>14264.552123718437</v>
      </c>
      <c r="BI19" s="22">
        <v>1966.3550070193605</v>
      </c>
      <c r="BJ19" s="22">
        <v>1545.2300729696833</v>
      </c>
      <c r="BK19" s="22">
        <v>381.85160008019727</v>
      </c>
      <c r="BL19" s="22">
        <v>4310.6802853497829</v>
      </c>
      <c r="BM19" s="22">
        <v>8869.297225870343</v>
      </c>
      <c r="BN19" s="22">
        <v>2057.0663257743527</v>
      </c>
      <c r="BO19" s="22">
        <v>284.45686131773823</v>
      </c>
      <c r="BP19" s="3"/>
    </row>
    <row r="20" spans="1:68">
      <c r="A20" s="20" t="s">
        <v>9</v>
      </c>
      <c r="B20" s="21" t="s">
        <v>6</v>
      </c>
      <c r="C20" s="3">
        <v>6500</v>
      </c>
      <c r="D20" s="3">
        <v>4650</v>
      </c>
      <c r="E20" s="3">
        <v>18000</v>
      </c>
      <c r="F20" s="3">
        <v>38900</v>
      </c>
      <c r="G20" s="3">
        <v>40000</v>
      </c>
      <c r="H20" s="3">
        <v>20000</v>
      </c>
      <c r="I20" s="3">
        <v>19250</v>
      </c>
      <c r="J20" s="3">
        <v>42000</v>
      </c>
      <c r="K20" s="3">
        <v>16500</v>
      </c>
      <c r="L20" s="3">
        <v>9750</v>
      </c>
      <c r="M20" s="3">
        <v>16500</v>
      </c>
      <c r="N20" s="3">
        <v>2275</v>
      </c>
      <c r="O20" s="3">
        <v>4342.340354006591</v>
      </c>
      <c r="P20" s="3">
        <v>998.24004811495888</v>
      </c>
      <c r="Q20" s="3">
        <v>1350</v>
      </c>
      <c r="R20" s="3">
        <v>128.80516749870438</v>
      </c>
      <c r="S20" s="3">
        <v>11119.354938506198</v>
      </c>
      <c r="T20" s="3">
        <v>1111.9354938506197</v>
      </c>
      <c r="U20" s="3">
        <v>39804.786578393752</v>
      </c>
      <c r="V20" s="3">
        <v>34237.683560436584</v>
      </c>
      <c r="W20" s="3">
        <v>9185.719979629328</v>
      </c>
      <c r="X20" s="3">
        <v>7775</v>
      </c>
      <c r="Y20" s="3">
        <v>20600</v>
      </c>
      <c r="Z20" s="3">
        <v>1180</v>
      </c>
      <c r="AA20" s="3">
        <v>8895.4839508049572</v>
      </c>
      <c r="AB20" s="3">
        <v>7633.9820995962364</v>
      </c>
      <c r="AC20" s="3">
        <v>17037.62412704411</v>
      </c>
      <c r="AD20" s="3">
        <v>444.77419754024788</v>
      </c>
      <c r="AE20" s="3">
        <v>16675.289140755078</v>
      </c>
      <c r="AF20" s="3">
        <v>1037.8064609272451</v>
      </c>
      <c r="AG20" s="3">
        <v>16303.661182801938</v>
      </c>
      <c r="AH20" s="3">
        <v>15.456620099844525</v>
      </c>
      <c r="AI20" s="3">
        <v>5890.0441454299944</v>
      </c>
      <c r="AJ20" s="3">
        <v>3435.8590848341637</v>
      </c>
      <c r="AK20" s="3">
        <v>2945.0220727149972</v>
      </c>
      <c r="AL20" s="3">
        <v>7183.9616645916249</v>
      </c>
      <c r="AM20" s="3">
        <v>2699.6035666554144</v>
      </c>
      <c r="AN20" s="3">
        <v>13948.347253135405</v>
      </c>
      <c r="AO20" s="3">
        <v>148.2580658467493</v>
      </c>
      <c r="AP20" s="3">
        <v>1114.9006551675548</v>
      </c>
      <c r="AQ20" s="3">
        <v>148.2580658467493</v>
      </c>
      <c r="AR20" s="3">
        <v>237.21290535479886</v>
      </c>
      <c r="AS20" s="3">
        <v>9898.1395860554185</v>
      </c>
      <c r="AT20" s="3">
        <v>2223.8709877012393</v>
      </c>
      <c r="AU20" s="3">
        <v>14148.267223755285</v>
      </c>
      <c r="AV20" s="3">
        <v>131.94967860360688</v>
      </c>
      <c r="AW20" s="3">
        <v>3716.8297107780049</v>
      </c>
      <c r="AX20" s="3">
        <v>515.93806914668755</v>
      </c>
      <c r="AY20" s="3">
        <v>3706.4516461687326</v>
      </c>
      <c r="AZ20" s="3">
        <v>7578.9523260858241</v>
      </c>
      <c r="BA20" s="3">
        <v>34957.00013085315</v>
      </c>
      <c r="BB20" s="3">
        <v>15563.529220056203</v>
      </c>
      <c r="BC20" s="3">
        <v>13015.171823533119</v>
      </c>
      <c r="BD20" s="3">
        <v>20059.222821303643</v>
      </c>
      <c r="BE20" s="3">
        <v>16018.598842496174</v>
      </c>
      <c r="BF20" s="3">
        <v>21004.578498520372</v>
      </c>
      <c r="BG20" s="3">
        <v>9091.1227724275268</v>
      </c>
      <c r="BH20" s="3">
        <v>19002.973661366235</v>
      </c>
      <c r="BI20" s="3">
        <v>30953.110751883087</v>
      </c>
      <c r="BJ20" s="3">
        <v>31243.83287227467</v>
      </c>
      <c r="BK20" s="3">
        <v>13933.007012591104</v>
      </c>
      <c r="BL20" s="3">
        <v>15856.78430556391</v>
      </c>
      <c r="BM20" s="3">
        <v>42045.108466562291</v>
      </c>
      <c r="BN20" s="3">
        <v>14049.071792532819</v>
      </c>
      <c r="BO20" s="3">
        <v>11095.221261476767</v>
      </c>
      <c r="BP20" s="3"/>
    </row>
    <row r="21" spans="1:68">
      <c r="A21" s="20" t="s">
        <v>10</v>
      </c>
      <c r="B21" s="21" t="s">
        <v>6</v>
      </c>
      <c r="C21" s="22">
        <v>16813.763635483941</v>
      </c>
      <c r="D21" s="22">
        <v>6755.7801029783204</v>
      </c>
      <c r="E21" s="22">
        <v>7242.1271152053314</v>
      </c>
      <c r="F21" s="22">
        <v>16436.843414383842</v>
      </c>
      <c r="G21" s="22">
        <v>7253.2378413245006</v>
      </c>
      <c r="H21" s="22">
        <v>3022.1472775636566</v>
      </c>
      <c r="I21" s="22">
        <v>3232.5907863952339</v>
      </c>
      <c r="J21" s="22">
        <v>10250.77035714363</v>
      </c>
      <c r="K21" s="22">
        <v>6080.5539731717636</v>
      </c>
      <c r="L21" s="22">
        <v>40533.48517344454</v>
      </c>
      <c r="M21" s="22">
        <v>81378.421844266835</v>
      </c>
      <c r="N21" s="22">
        <v>1236.3034360771146</v>
      </c>
      <c r="O21" s="22">
        <v>17936.525519644423</v>
      </c>
      <c r="P21" s="22">
        <v>41914.455105491557</v>
      </c>
      <c r="Q21" s="22">
        <v>17686.16306014061</v>
      </c>
      <c r="R21" s="22">
        <v>2961.5705871075415</v>
      </c>
      <c r="S21" s="22">
        <v>40709.702502098648</v>
      </c>
      <c r="T21" s="22">
        <v>893.67819704523663</v>
      </c>
      <c r="U21" s="22">
        <v>24560.870174792344</v>
      </c>
      <c r="V21" s="22">
        <v>49985.785014007364</v>
      </c>
      <c r="W21" s="22">
        <v>5605.0657268695868</v>
      </c>
      <c r="X21" s="22">
        <v>2556.5065412305507</v>
      </c>
      <c r="Y21" s="22">
        <v>7503.597098371275</v>
      </c>
      <c r="Z21" s="22">
        <v>1173.7106267144272</v>
      </c>
      <c r="AA21" s="22">
        <v>2474.3044195346147</v>
      </c>
      <c r="AB21" s="22">
        <v>3108.1585764225624</v>
      </c>
      <c r="AC21" s="22">
        <v>2249.0574452007631</v>
      </c>
      <c r="AD21" s="22">
        <v>5669.6551149564129</v>
      </c>
      <c r="AE21" s="22">
        <v>3272.7627140868562</v>
      </c>
      <c r="AF21" s="22">
        <v>3166.2217422690287</v>
      </c>
      <c r="AG21" s="22">
        <v>2910.4310321866974</v>
      </c>
      <c r="AH21" s="22">
        <v>7570.4934759761536</v>
      </c>
      <c r="AI21" s="22">
        <v>4401.6862867891268</v>
      </c>
      <c r="AJ21" s="22">
        <v>2125.6225300215715</v>
      </c>
      <c r="AK21" s="22">
        <v>13414.790751234927</v>
      </c>
      <c r="AL21" s="22">
        <v>6569.1803996886938</v>
      </c>
      <c r="AM21" s="22">
        <v>1717.451886578601</v>
      </c>
      <c r="AN21" s="22">
        <v>3604.8053639287532</v>
      </c>
      <c r="AO21" s="22">
        <v>13076.091517414554</v>
      </c>
      <c r="AP21" s="22">
        <v>15523.138338862118</v>
      </c>
      <c r="AQ21" s="22">
        <v>10953.631748953239</v>
      </c>
      <c r="AR21" s="22">
        <v>15954.442430458206</v>
      </c>
      <c r="AS21" s="22">
        <v>10048.61495630561</v>
      </c>
      <c r="AT21" s="22">
        <v>2704.6731865955207</v>
      </c>
      <c r="AU21" s="22">
        <v>10632.339508501645</v>
      </c>
      <c r="AV21" s="22">
        <v>1447.1752598102064</v>
      </c>
      <c r="AW21" s="22">
        <v>2451.6106797318921</v>
      </c>
      <c r="AX21" s="22">
        <v>58.689953794036313</v>
      </c>
      <c r="AY21" s="22">
        <v>8271.0427600850398</v>
      </c>
      <c r="AZ21" s="22">
        <v>173.77319835190332</v>
      </c>
      <c r="BA21" s="22">
        <v>4695.3258744152472</v>
      </c>
      <c r="BB21" s="22">
        <v>4778.8371083000202</v>
      </c>
      <c r="BC21" s="22">
        <v>6132.822758598244</v>
      </c>
      <c r="BD21" s="22">
        <v>2010.1537795597631</v>
      </c>
      <c r="BE21" s="22">
        <v>6025.4623804627226</v>
      </c>
      <c r="BF21" s="22">
        <v>388.83347436662689</v>
      </c>
      <c r="BG21" s="22">
        <v>38.077840103158742</v>
      </c>
      <c r="BH21" s="22">
        <v>2481.8025820508906</v>
      </c>
      <c r="BI21" s="22">
        <v>3333.2230053569892</v>
      </c>
      <c r="BJ21" s="22">
        <v>148.84571124636955</v>
      </c>
      <c r="BK21" s="22">
        <v>10.245713512423393</v>
      </c>
      <c r="BL21" s="22">
        <v>4346.9680677278666</v>
      </c>
      <c r="BM21" s="22">
        <v>1480.1616989577508</v>
      </c>
      <c r="BN21" s="22">
        <v>1211.6387428263906</v>
      </c>
      <c r="BO21" s="22">
        <v>211.7426929211168</v>
      </c>
      <c r="BP21" s="3"/>
    </row>
    <row r="22" spans="1:68">
      <c r="A22" s="20" t="s">
        <v>10</v>
      </c>
      <c r="B22" s="21" t="s">
        <v>8</v>
      </c>
      <c r="C22" s="10">
        <v>16586.208939665361</v>
      </c>
      <c r="D22" s="10">
        <v>3908.5164580449273</v>
      </c>
      <c r="E22" s="10">
        <v>7748.5695708140947</v>
      </c>
      <c r="F22" s="10">
        <v>40233.85563615791</v>
      </c>
      <c r="G22" s="10">
        <v>31158.275233858767</v>
      </c>
      <c r="H22" s="10">
        <v>20939.163280262481</v>
      </c>
      <c r="I22" s="10">
        <v>5369.8408931028262</v>
      </c>
      <c r="J22" s="10">
        <v>14382.458409257642</v>
      </c>
      <c r="K22" s="10">
        <v>14614.206974146726</v>
      </c>
      <c r="L22" s="10">
        <v>23738.621887790287</v>
      </c>
      <c r="M22" s="10">
        <v>33129.32582372817</v>
      </c>
      <c r="N22" s="10">
        <v>4285.8519117339974</v>
      </c>
      <c r="O22" s="10">
        <v>14444.458604315416</v>
      </c>
      <c r="P22" s="10">
        <v>26375.717303045305</v>
      </c>
      <c r="Q22" s="10">
        <v>74764.234754230754</v>
      </c>
      <c r="R22" s="10">
        <v>21138.549695134563</v>
      </c>
      <c r="S22" s="10">
        <v>116915.60337114979</v>
      </c>
      <c r="T22" s="10">
        <v>19173.459500243262</v>
      </c>
      <c r="U22" s="10">
        <v>59164.407265499773</v>
      </c>
      <c r="V22" s="10">
        <v>82069.052460497973</v>
      </c>
      <c r="W22" s="10">
        <v>26893.536516422344</v>
      </c>
      <c r="X22" s="10">
        <v>18548.270862970588</v>
      </c>
      <c r="Y22" s="10">
        <v>9117.2738937199356</v>
      </c>
      <c r="Z22" s="10">
        <v>33717.505276523552</v>
      </c>
      <c r="AA22" s="10">
        <v>18315.231627207308</v>
      </c>
      <c r="AB22" s="10">
        <v>10155.10431434613</v>
      </c>
      <c r="AC22" s="10">
        <v>15100.814274919408</v>
      </c>
      <c r="AD22" s="10">
        <v>17255.052503050327</v>
      </c>
      <c r="AE22" s="10">
        <v>47410.139081713125</v>
      </c>
      <c r="AF22" s="10">
        <v>13954.829160370906</v>
      </c>
      <c r="AG22" s="10">
        <v>19960.706162413768</v>
      </c>
      <c r="AH22" s="10">
        <v>43278.364345796814</v>
      </c>
      <c r="AI22" s="10">
        <v>36181.861277406621</v>
      </c>
      <c r="AJ22" s="10">
        <v>17272.693780440157</v>
      </c>
      <c r="AK22" s="10">
        <v>78883.279590193502</v>
      </c>
      <c r="AL22" s="10">
        <v>6076.7815161141443</v>
      </c>
      <c r="AM22" s="10">
        <v>105247.16906142326</v>
      </c>
      <c r="AN22" s="10">
        <v>12141.217033800036</v>
      </c>
      <c r="AO22" s="10">
        <v>25899.348345102204</v>
      </c>
      <c r="AP22" s="10">
        <v>8249.6118066995659</v>
      </c>
      <c r="AQ22" s="10">
        <v>6828.8069932045637</v>
      </c>
      <c r="AR22" s="10">
        <v>12667.827289783814</v>
      </c>
      <c r="AS22" s="10">
        <v>5526.9667074359422</v>
      </c>
      <c r="AT22" s="10">
        <v>5567.9385736777785</v>
      </c>
      <c r="AU22" s="10">
        <v>35727.023490678526</v>
      </c>
      <c r="AV22" s="10">
        <v>6363.7959033567067</v>
      </c>
      <c r="AW22" s="10">
        <v>2398.4015494067294</v>
      </c>
      <c r="AX22" s="10">
        <v>49562.198730218821</v>
      </c>
      <c r="AY22" s="10">
        <v>40151.837247660464</v>
      </c>
      <c r="AZ22" s="10">
        <v>14589.109269153027</v>
      </c>
      <c r="BA22" s="10">
        <v>13237.784998290615</v>
      </c>
      <c r="BB22" s="10">
        <v>13473.232715590169</v>
      </c>
      <c r="BC22" s="10">
        <v>5499.1837545541985</v>
      </c>
      <c r="BD22" s="10">
        <v>25367.574457542927</v>
      </c>
      <c r="BE22" s="10">
        <v>16987.910454199864</v>
      </c>
      <c r="BF22" s="10">
        <v>39730.351823132652</v>
      </c>
      <c r="BG22" s="10">
        <v>3720.2049780786087</v>
      </c>
      <c r="BH22" s="10">
        <v>68613.815663964167</v>
      </c>
      <c r="BI22" s="10">
        <v>31112.081517148501</v>
      </c>
      <c r="BJ22" s="10">
        <v>18291.931055060606</v>
      </c>
      <c r="BK22" s="10">
        <v>10465.996352940496</v>
      </c>
      <c r="BL22" s="10">
        <v>12454.671868350073</v>
      </c>
      <c r="BM22" s="10">
        <v>17992.071535034142</v>
      </c>
      <c r="BN22" s="10">
        <v>8252.0832824535246</v>
      </c>
      <c r="BO22" s="10">
        <v>9357.8506788193572</v>
      </c>
      <c r="BP22" s="3"/>
    </row>
    <row r="23" spans="1:68">
      <c r="A23" s="20" t="s">
        <v>11</v>
      </c>
      <c r="B23" s="21" t="s">
        <v>8</v>
      </c>
      <c r="C23" s="3">
        <v>18000</v>
      </c>
      <c r="D23" s="3">
        <v>7950</v>
      </c>
      <c r="E23" s="3">
        <v>4850</v>
      </c>
      <c r="F23" s="3">
        <v>89500</v>
      </c>
      <c r="G23" s="3">
        <v>20750</v>
      </c>
      <c r="H23" s="3">
        <v>16150</v>
      </c>
      <c r="I23" s="3">
        <v>5600</v>
      </c>
      <c r="J23" s="3">
        <v>8150</v>
      </c>
      <c r="K23" s="3">
        <v>8500</v>
      </c>
      <c r="L23" s="3">
        <v>8150</v>
      </c>
      <c r="M23" s="3">
        <v>23446.18424778487</v>
      </c>
      <c r="N23" s="3">
        <v>2662.0121853380201</v>
      </c>
      <c r="O23" s="3">
        <v>12150</v>
      </c>
      <c r="P23" s="3">
        <v>11275</v>
      </c>
      <c r="Q23" s="3">
        <v>19146.010717623452</v>
      </c>
      <c r="R23" s="3">
        <v>7998.9414977357683</v>
      </c>
      <c r="S23" s="3">
        <v>11225</v>
      </c>
      <c r="T23" s="3">
        <v>5194.1178556725763</v>
      </c>
      <c r="U23" s="3">
        <v>155823.53567017731</v>
      </c>
      <c r="V23" s="3">
        <v>44150.0017732169</v>
      </c>
      <c r="W23" s="3">
        <v>43718.430889974406</v>
      </c>
      <c r="X23" s="3">
        <v>7271.7649979416074</v>
      </c>
      <c r="Y23" s="3">
        <v>15582.35356701773</v>
      </c>
      <c r="Z23" s="3">
        <v>88300.0035464338</v>
      </c>
      <c r="AA23" s="3">
        <v>176600.0070928676</v>
      </c>
      <c r="AB23" s="3">
        <v>36358.824989708039</v>
      </c>
      <c r="AC23" s="3">
        <v>148483.9681456332</v>
      </c>
      <c r="AD23" s="3">
        <v>131151.47585573257</v>
      </c>
      <c r="AE23" s="3">
        <v>207764.71422690307</v>
      </c>
      <c r="AF23" s="3">
        <v>85517.141453983888</v>
      </c>
      <c r="AG23" s="3">
        <v>109076.47496912412</v>
      </c>
      <c r="AH23" s="3">
        <v>79470.003191790427</v>
      </c>
      <c r="AI23" s="3">
        <v>274392.02525791898</v>
      </c>
      <c r="AJ23" s="3">
        <v>82586.473905193969</v>
      </c>
      <c r="AK23" s="3">
        <v>112712.35746809491</v>
      </c>
      <c r="AL23" s="3">
        <v>22854.118564959339</v>
      </c>
      <c r="AM23" s="3">
        <v>12465.882853614185</v>
      </c>
      <c r="AN23" s="3">
        <v>44934.155609948604</v>
      </c>
      <c r="AO23" s="3">
        <v>197376.47851555792</v>
      </c>
      <c r="AP23" s="3">
        <v>200492.94922896146</v>
      </c>
      <c r="AQ23" s="3">
        <v>106479.41604128783</v>
      </c>
      <c r="AR23" s="3">
        <v>59212.943554667378</v>
      </c>
      <c r="AS23" s="3">
        <v>24572.420172350954</v>
      </c>
      <c r="AT23" s="3">
        <v>27797.550319972015</v>
      </c>
      <c r="AU23" s="3">
        <v>20686.22170121286</v>
      </c>
      <c r="AV23" s="3">
        <v>10392.086031223424</v>
      </c>
      <c r="AW23" s="3">
        <v>10343.11085060643</v>
      </c>
      <c r="AX23" s="3">
        <v>51715.554253032147</v>
      </c>
      <c r="AY23" s="3">
        <v>58772.141630858387</v>
      </c>
      <c r="AZ23" s="3">
        <v>34500.73913105407</v>
      </c>
      <c r="BA23" s="3">
        <v>1247.5836145821024</v>
      </c>
      <c r="BB23" s="3">
        <v>56921.239715601951</v>
      </c>
      <c r="BC23" s="3">
        <v>47601.010338476524</v>
      </c>
      <c r="BD23" s="3">
        <v>507.49163983000773</v>
      </c>
      <c r="BE23" s="3">
        <v>58585.587608675814</v>
      </c>
      <c r="BF23" s="3">
        <v>76821.049450578212</v>
      </c>
      <c r="BG23" s="3">
        <v>33249.398082952699</v>
      </c>
      <c r="BH23" s="3">
        <v>69500.484356336208</v>
      </c>
      <c r="BI23" s="3">
        <v>113206.29223229298</v>
      </c>
      <c r="BJ23" s="3">
        <v>114269.56414648787</v>
      </c>
      <c r="BK23" s="3">
        <v>50957.852869311944</v>
      </c>
      <c r="BL23" s="3">
        <v>57993.775564250755</v>
      </c>
      <c r="BM23" s="3">
        <v>153773.58592995495</v>
      </c>
      <c r="BN23" s="3">
        <v>51382.342139591798</v>
      </c>
      <c r="BO23" s="3">
        <v>40579.083329525296</v>
      </c>
      <c r="BP23" s="3"/>
    </row>
    <row r="24" spans="1:68">
      <c r="A24" s="20" t="s">
        <v>12</v>
      </c>
      <c r="B24" s="21" t="s">
        <v>8</v>
      </c>
      <c r="C24" s="22">
        <v>16145.14499138829</v>
      </c>
      <c r="D24" s="22">
        <v>3051.9064738164852</v>
      </c>
      <c r="E24" s="22">
        <v>2581.4278549796732</v>
      </c>
      <c r="F24" s="22">
        <v>7662.6717446328603</v>
      </c>
      <c r="G24" s="22">
        <v>24033.990504852372</v>
      </c>
      <c r="H24" s="22">
        <v>7218.4627469434026</v>
      </c>
      <c r="I24" s="22">
        <v>2306.4569704571081</v>
      </c>
      <c r="J24" s="22">
        <v>4068.1920493631928</v>
      </c>
      <c r="K24" s="22">
        <v>3604.5243236755482</v>
      </c>
      <c r="L24" s="22">
        <v>5316.4475562403022</v>
      </c>
      <c r="M24" s="22">
        <v>6670.991169721814</v>
      </c>
      <c r="N24" s="22">
        <v>2754.8312532880773</v>
      </c>
      <c r="O24" s="22">
        <v>5901.2255189057596</v>
      </c>
      <c r="P24" s="22">
        <v>7786.8673743664649</v>
      </c>
      <c r="Q24" s="22">
        <v>16274.05535692026</v>
      </c>
      <c r="R24" s="22">
        <v>7039.3547904563929</v>
      </c>
      <c r="S24" s="22">
        <v>6801.4285800000289</v>
      </c>
      <c r="T24" s="22">
        <v>5339.7989563355359</v>
      </c>
      <c r="U24" s="22">
        <v>19539.034803610273</v>
      </c>
      <c r="V24" s="22">
        <v>15598.169529599125</v>
      </c>
      <c r="W24" s="22">
        <v>7257.2499540882309</v>
      </c>
      <c r="X24" s="22">
        <v>10574.541932286664</v>
      </c>
      <c r="Y24" s="22">
        <v>6779.6384367754436</v>
      </c>
      <c r="Z24" s="22">
        <v>7570.3939068802256</v>
      </c>
      <c r="AA24" s="22">
        <v>7008.1501537481081</v>
      </c>
      <c r="AB24" s="22">
        <v>4380.2171067292556</v>
      </c>
      <c r="AC24" s="22">
        <v>7783.5370389356431</v>
      </c>
      <c r="AD24" s="22">
        <v>15090.787441550736</v>
      </c>
      <c r="AE24" s="22">
        <v>5537.3333818497558</v>
      </c>
      <c r="AF24" s="22">
        <v>9961.6636356444724</v>
      </c>
      <c r="AG24" s="22">
        <v>13616.465543595781</v>
      </c>
      <c r="AH24" s="22">
        <v>9665.1052023718839</v>
      </c>
      <c r="AI24" s="22">
        <v>6617.0633517336337</v>
      </c>
      <c r="AJ24" s="22">
        <v>2789.589551180914</v>
      </c>
      <c r="AK24" s="22">
        <v>2041.2876965148037</v>
      </c>
      <c r="AL24" s="22">
        <v>1914.7653030266297</v>
      </c>
      <c r="AM24" s="22">
        <v>445.96754479561469</v>
      </c>
      <c r="AN24" s="22">
        <v>1585.1545755528741</v>
      </c>
      <c r="AO24" s="22">
        <v>14204.800969678801</v>
      </c>
      <c r="AP24" s="22">
        <v>14377.043261626925</v>
      </c>
      <c r="AQ24" s="22">
        <v>4595.9885791585457</v>
      </c>
      <c r="AR24" s="22">
        <v>1751.5277033757304</v>
      </c>
      <c r="AS24" s="22">
        <v>1966.912640875373</v>
      </c>
      <c r="AT24" s="22">
        <v>2371.8788745774455</v>
      </c>
      <c r="AU24" s="22">
        <v>4488.186856817425</v>
      </c>
      <c r="AV24" s="22">
        <v>2668.8486560329052</v>
      </c>
      <c r="AW24" s="22">
        <v>920.389357119696</v>
      </c>
      <c r="AX24" s="22">
        <v>2789.2873515887477</v>
      </c>
      <c r="AY24" s="22">
        <v>3999.4639406944175</v>
      </c>
      <c r="AZ24" s="22">
        <v>10058.193528351849</v>
      </c>
      <c r="BA24" s="22">
        <v>12434.260075762521</v>
      </c>
      <c r="BB24" s="22">
        <v>7880.5665467892259</v>
      </c>
      <c r="BC24" s="22">
        <v>7057.329213254704</v>
      </c>
      <c r="BD24" s="22">
        <v>1813.2320982304211</v>
      </c>
      <c r="BE24" s="22">
        <v>1833.1326594128204</v>
      </c>
      <c r="BF24" s="22">
        <v>3009.1771262734314</v>
      </c>
      <c r="BG24" s="22">
        <v>872.1586661665566</v>
      </c>
      <c r="BH24" s="22">
        <v>8149.011618666379</v>
      </c>
      <c r="BI24" s="22">
        <v>8335.6190748303434</v>
      </c>
      <c r="BJ24" s="22">
        <v>4275.2910991605131</v>
      </c>
      <c r="BK24" s="22">
        <v>8525.0760419245853</v>
      </c>
      <c r="BL24" s="22">
        <v>8525.2556356646437</v>
      </c>
      <c r="BM24" s="22">
        <v>12167.114785521911</v>
      </c>
      <c r="BN24" s="22">
        <v>4029.7420669600215</v>
      </c>
      <c r="BO24" s="22">
        <v>3534.9119564442617</v>
      </c>
      <c r="BP24" s="3"/>
    </row>
    <row r="25" spans="1:68">
      <c r="A25" s="20" t="s">
        <v>12</v>
      </c>
      <c r="B25" s="21" t="s">
        <v>13</v>
      </c>
      <c r="C25" s="22">
        <v>173547.41317420415</v>
      </c>
      <c r="D25" s="22">
        <v>127692.7927153973</v>
      </c>
      <c r="E25" s="22">
        <v>84011.419399189966</v>
      </c>
      <c r="F25" s="22">
        <v>150367.16186884549</v>
      </c>
      <c r="G25" s="22">
        <v>167956.98359182698</v>
      </c>
      <c r="H25" s="22">
        <v>180205.59481731048</v>
      </c>
      <c r="I25" s="22">
        <v>168422.61344271238</v>
      </c>
      <c r="J25" s="22">
        <v>79602.492932684225</v>
      </c>
      <c r="K25" s="22">
        <v>117852.09570276718</v>
      </c>
      <c r="L25" s="22">
        <v>156988.56197321127</v>
      </c>
      <c r="M25" s="22">
        <v>124192.89691064479</v>
      </c>
      <c r="N25" s="22">
        <v>40455.207108471215</v>
      </c>
      <c r="O25" s="22">
        <v>148986.7845292571</v>
      </c>
      <c r="P25" s="22">
        <v>120198.5954049748</v>
      </c>
      <c r="Q25" s="22">
        <v>342826.49529311649</v>
      </c>
      <c r="R25" s="22">
        <v>234288.09096062472</v>
      </c>
      <c r="S25" s="22">
        <v>297199.50278224843</v>
      </c>
      <c r="T25" s="22">
        <v>167628.80838525097</v>
      </c>
      <c r="U25" s="22">
        <v>249135.44768519781</v>
      </c>
      <c r="V25" s="22">
        <v>324293.85848526628</v>
      </c>
      <c r="W25" s="22">
        <v>236437.61334520672</v>
      </c>
      <c r="X25" s="22">
        <v>182157.31413380941</v>
      </c>
      <c r="Y25" s="22">
        <v>165380.35908824648</v>
      </c>
      <c r="Z25" s="22">
        <v>199989.79038503871</v>
      </c>
      <c r="AA25" s="22">
        <v>311152.52262621099</v>
      </c>
      <c r="AB25" s="22">
        <v>206403.49286023853</v>
      </c>
      <c r="AC25" s="22">
        <v>256934.04218923653</v>
      </c>
      <c r="AD25" s="22">
        <v>244230.13875051512</v>
      </c>
      <c r="AE25" s="22">
        <v>271783.81688257493</v>
      </c>
      <c r="AF25" s="22">
        <v>311178.62989334785</v>
      </c>
      <c r="AG25" s="22">
        <v>297608.14503891172</v>
      </c>
      <c r="AH25" s="22">
        <v>527344.81947618909</v>
      </c>
      <c r="AI25" s="22">
        <v>514661.62937957572</v>
      </c>
      <c r="AJ25" s="22">
        <v>267780.04745074396</v>
      </c>
      <c r="AK25" s="22">
        <v>263645.09590033937</v>
      </c>
      <c r="AL25" s="22">
        <v>165907.67578974273</v>
      </c>
      <c r="AM25" s="22">
        <v>284375.85261005798</v>
      </c>
      <c r="AN25" s="22">
        <v>292661.81960155588</v>
      </c>
      <c r="AO25" s="22">
        <v>377018.66233038052</v>
      </c>
      <c r="AP25" s="22">
        <v>483843.08327340439</v>
      </c>
      <c r="AQ25" s="22">
        <v>477301.11555691157</v>
      </c>
      <c r="AR25" s="22">
        <v>221709.00223890835</v>
      </c>
      <c r="AS25" s="22">
        <v>161576.05759007658</v>
      </c>
      <c r="AT25" s="22">
        <v>339494.72233969317</v>
      </c>
      <c r="AU25" s="22">
        <v>782212.6235342233</v>
      </c>
      <c r="AV25" s="22">
        <v>346677.42201968335</v>
      </c>
      <c r="AW25" s="22">
        <v>96622.980187418158</v>
      </c>
      <c r="AX25" s="22">
        <v>427438.82286549645</v>
      </c>
      <c r="AY25" s="22">
        <v>487723.77469877212</v>
      </c>
      <c r="AZ25" s="22">
        <v>338497.09431615437</v>
      </c>
      <c r="BA25" s="22">
        <v>418460.91882730607</v>
      </c>
      <c r="BB25" s="22">
        <v>265211.52830615221</v>
      </c>
      <c r="BC25" s="22">
        <v>355875.86604906654</v>
      </c>
      <c r="BD25" s="22">
        <v>192511.88644599667</v>
      </c>
      <c r="BE25" s="22">
        <v>164168.05887181286</v>
      </c>
      <c r="BF25" s="22">
        <v>187929.63366856071</v>
      </c>
      <c r="BG25" s="22">
        <v>90190.006647722985</v>
      </c>
      <c r="BH25" s="22">
        <v>417949.66584294249</v>
      </c>
      <c r="BI25" s="22">
        <v>283883.4907979843</v>
      </c>
      <c r="BJ25" s="22">
        <v>270696.15406710934</v>
      </c>
      <c r="BK25" s="22">
        <v>107109.92975751401</v>
      </c>
      <c r="BL25" s="22">
        <v>179857.71383258741</v>
      </c>
      <c r="BM25" s="22">
        <v>386138.08759793115</v>
      </c>
      <c r="BN25" s="22">
        <v>91327.325709227822</v>
      </c>
      <c r="BO25" s="22">
        <v>81249.972952359458</v>
      </c>
      <c r="BP25" s="3"/>
    </row>
    <row r="26" spans="1:68">
      <c r="A26" s="20" t="s">
        <v>12</v>
      </c>
      <c r="B26" s="21" t="s">
        <v>14</v>
      </c>
      <c r="C26" s="22">
        <v>67830.241736982745</v>
      </c>
      <c r="D26" s="22">
        <v>22671.305234065319</v>
      </c>
      <c r="E26" s="22">
        <v>45059.973349793705</v>
      </c>
      <c r="F26" s="22">
        <v>71850.318725507459</v>
      </c>
      <c r="G26" s="22">
        <v>45539.431530448222</v>
      </c>
      <c r="H26" s="22">
        <v>29974.538569754346</v>
      </c>
      <c r="I26" s="22">
        <v>20988.758431159684</v>
      </c>
      <c r="J26" s="22">
        <v>17603.246100389162</v>
      </c>
      <c r="K26" s="22">
        <v>17894.801606899888</v>
      </c>
      <c r="L26" s="22">
        <v>16000.46235676168</v>
      </c>
      <c r="M26" s="22">
        <v>25073.725431023369</v>
      </c>
      <c r="N26" s="22">
        <v>17268.710726629892</v>
      </c>
      <c r="O26" s="22">
        <v>21714.466195107776</v>
      </c>
      <c r="P26" s="22">
        <v>18085.956878692472</v>
      </c>
      <c r="Q26" s="22">
        <v>75962.596948132501</v>
      </c>
      <c r="R26" s="22">
        <v>25882.38130925778</v>
      </c>
      <c r="S26" s="22">
        <v>14010.433404494443</v>
      </c>
      <c r="T26" s="22">
        <v>27383.715413399179</v>
      </c>
      <c r="U26" s="22">
        <v>45250.976163974701</v>
      </c>
      <c r="V26" s="22">
        <v>14959.946553756279</v>
      </c>
      <c r="W26" s="22">
        <v>25965.055560118079</v>
      </c>
      <c r="X26" s="22">
        <v>23076.453386882156</v>
      </c>
      <c r="Y26" s="22">
        <v>17199.891739374212</v>
      </c>
      <c r="Z26" s="22">
        <v>37751.373113672409</v>
      </c>
      <c r="AA26" s="22">
        <v>27322.441399412623</v>
      </c>
      <c r="AB26" s="22">
        <v>23833.351519735359</v>
      </c>
      <c r="AC26" s="22">
        <v>26927.945358542915</v>
      </c>
      <c r="AD26" s="22">
        <v>33202.596869061701</v>
      </c>
      <c r="AE26" s="22">
        <v>24303.533521736597</v>
      </c>
      <c r="AF26" s="22">
        <v>43826.824937867692</v>
      </c>
      <c r="AG26" s="22">
        <v>64879.893308055238</v>
      </c>
      <c r="AH26" s="22">
        <v>66832.076233829517</v>
      </c>
      <c r="AI26" s="22">
        <v>33503.203965506167</v>
      </c>
      <c r="AJ26" s="22">
        <v>23291.788410946647</v>
      </c>
      <c r="AK26" s="22">
        <v>19897.204686347992</v>
      </c>
      <c r="AL26" s="22">
        <v>6923.6576260013653</v>
      </c>
      <c r="AM26" s="22">
        <v>22085.31546193927</v>
      </c>
      <c r="AN26" s="22">
        <v>24592.20707796406</v>
      </c>
      <c r="AO26" s="22">
        <v>20384.436444571038</v>
      </c>
      <c r="AP26" s="22">
        <v>70045.733057579608</v>
      </c>
      <c r="AQ26" s="22">
        <v>57702.761502329537</v>
      </c>
      <c r="AR26" s="22">
        <v>26358.406783776922</v>
      </c>
      <c r="AS26" s="22">
        <v>11343.542534616896</v>
      </c>
      <c r="AT26" s="22">
        <v>14518.302713719788</v>
      </c>
      <c r="AU26" s="22">
        <v>73513.440820632983</v>
      </c>
      <c r="AV26" s="22">
        <v>39505.601101277127</v>
      </c>
      <c r="AW26" s="22">
        <v>11750.233920756944</v>
      </c>
      <c r="AX26" s="22">
        <v>70688.243950051125</v>
      </c>
      <c r="AY26" s="22">
        <v>61394.004376564641</v>
      </c>
      <c r="AZ26" s="22">
        <v>49004.063360429951</v>
      </c>
      <c r="BA26" s="22">
        <v>60580.388205413343</v>
      </c>
      <c r="BB26" s="22">
        <v>38394.546822586737</v>
      </c>
      <c r="BC26" s="22">
        <v>32101.053673687937</v>
      </c>
      <c r="BD26" s="22">
        <v>20266.816425266148</v>
      </c>
      <c r="BE26" s="22">
        <v>17236.010814230089</v>
      </c>
      <c r="BF26" s="22">
        <v>26271.825560958961</v>
      </c>
      <c r="BG26" s="22">
        <v>12962.78255574071</v>
      </c>
      <c r="BH26" s="22">
        <v>60763.399840049176</v>
      </c>
      <c r="BI26" s="22">
        <v>62929.308199846229</v>
      </c>
      <c r="BJ26" s="22">
        <v>51476.310054645059</v>
      </c>
      <c r="BK26" s="22">
        <v>13791.558386618677</v>
      </c>
      <c r="BL26" s="22">
        <v>12828.760206640733</v>
      </c>
      <c r="BM26" s="22">
        <v>52934.109075628927</v>
      </c>
      <c r="BN26" s="22">
        <v>15271.004623557163</v>
      </c>
      <c r="BO26" s="22">
        <v>14862.206328501883</v>
      </c>
      <c r="BP26" s="3"/>
    </row>
    <row r="27" spans="1:68">
      <c r="A27" s="20" t="s">
        <v>12</v>
      </c>
      <c r="B27" s="21" t="s">
        <v>15</v>
      </c>
      <c r="C27" s="22">
        <v>34972.550492527989</v>
      </c>
      <c r="D27" s="22">
        <v>19593.752487359623</v>
      </c>
      <c r="E27" s="22">
        <v>15232.980213543418</v>
      </c>
      <c r="F27" s="22">
        <v>59615.586173243653</v>
      </c>
      <c r="G27" s="22">
        <v>49447.189816571925</v>
      </c>
      <c r="H27" s="22">
        <v>90384.368650557284</v>
      </c>
      <c r="I27" s="22">
        <v>62453.729300044135</v>
      </c>
      <c r="J27" s="22">
        <v>53116.771663383573</v>
      </c>
      <c r="K27" s="22">
        <v>31878.310862577368</v>
      </c>
      <c r="L27" s="22">
        <v>14645.79062368122</v>
      </c>
      <c r="M27" s="22">
        <v>27195.151741701186</v>
      </c>
      <c r="N27" s="22">
        <v>9004.2169667656599</v>
      </c>
      <c r="O27" s="22">
        <v>16145.344276833075</v>
      </c>
      <c r="P27" s="22">
        <v>12933.859055259183</v>
      </c>
      <c r="Q27" s="22">
        <v>67034.82363320759</v>
      </c>
      <c r="R27" s="22">
        <v>70444.557721886071</v>
      </c>
      <c r="S27" s="22">
        <v>50208.298618651897</v>
      </c>
      <c r="T27" s="22">
        <v>35627.956213544399</v>
      </c>
      <c r="U27" s="22">
        <v>84247.420560527418</v>
      </c>
      <c r="V27" s="22">
        <v>78179.761648845088</v>
      </c>
      <c r="W27" s="22">
        <v>83548.128446711868</v>
      </c>
      <c r="X27" s="22">
        <v>33018.051652667615</v>
      </c>
      <c r="Y27" s="22">
        <v>29648.939100496762</v>
      </c>
      <c r="Z27" s="22">
        <v>77803.119480947353</v>
      </c>
      <c r="AA27" s="22">
        <v>36190.087393955233</v>
      </c>
      <c r="AB27" s="22">
        <v>26117.691694072171</v>
      </c>
      <c r="AC27" s="22">
        <v>63634.28128851689</v>
      </c>
      <c r="AD27" s="22">
        <v>59648.048388557771</v>
      </c>
      <c r="AE27" s="22">
        <v>35271.20359697564</v>
      </c>
      <c r="AF27" s="22">
        <v>39491.136242382607</v>
      </c>
      <c r="AG27" s="22">
        <v>76705.443302661864</v>
      </c>
      <c r="AH27" s="22">
        <v>107726.08179961061</v>
      </c>
      <c r="AI27" s="22">
        <v>62818.24948025812</v>
      </c>
      <c r="AJ27" s="22">
        <v>94872.759041562022</v>
      </c>
      <c r="AK27" s="22">
        <v>105435.61782627487</v>
      </c>
      <c r="AL27" s="22">
        <v>53008.600819468811</v>
      </c>
      <c r="AM27" s="22">
        <v>142422.39870270254</v>
      </c>
      <c r="AN27" s="22">
        <v>56463.163483751683</v>
      </c>
      <c r="AO27" s="22">
        <v>134182.831424084</v>
      </c>
      <c r="AP27" s="22">
        <v>111528.29705629125</v>
      </c>
      <c r="AQ27" s="22">
        <v>108883.09084306791</v>
      </c>
      <c r="AR27" s="22">
        <v>35866.700030673739</v>
      </c>
      <c r="AS27" s="22">
        <v>41699.176727945509</v>
      </c>
      <c r="AT27" s="22">
        <v>54667.196935815766</v>
      </c>
      <c r="AU27" s="22">
        <v>135937.33278433888</v>
      </c>
      <c r="AV27" s="22">
        <v>18363.38050770386</v>
      </c>
      <c r="AW27" s="22">
        <v>7074.5717404234765</v>
      </c>
      <c r="AX27" s="22">
        <v>81917.020013369125</v>
      </c>
      <c r="AY27" s="22">
        <v>93189.275356663216</v>
      </c>
      <c r="AZ27" s="22">
        <v>78025.305708981337</v>
      </c>
      <c r="BA27" s="22">
        <v>96457.374869712672</v>
      </c>
      <c r="BB27" s="22">
        <v>61132.609174796482</v>
      </c>
      <c r="BC27" s="22">
        <v>54066.430006212111</v>
      </c>
      <c r="BD27" s="22">
        <v>45060.723440528607</v>
      </c>
      <c r="BE27" s="22">
        <v>22753.881380026352</v>
      </c>
      <c r="BF27" s="22">
        <v>51648.544622473353</v>
      </c>
      <c r="BG27" s="22">
        <v>7119.4323201953075</v>
      </c>
      <c r="BH27" s="22">
        <v>52399.172121566655</v>
      </c>
      <c r="BI27" s="22">
        <v>96727.935640721844</v>
      </c>
      <c r="BJ27" s="22">
        <v>79394.489289456615</v>
      </c>
      <c r="BK27" s="22">
        <v>41319.463855857313</v>
      </c>
      <c r="BL27" s="22">
        <v>37068.129797521011</v>
      </c>
      <c r="BM27" s="22">
        <v>162692.08983347559</v>
      </c>
      <c r="BN27" s="22">
        <v>55079.341746067737</v>
      </c>
      <c r="BO27" s="22">
        <v>7629.0495804165785</v>
      </c>
      <c r="BP27" s="3"/>
    </row>
    <row r="28" spans="1:68">
      <c r="A28" s="20" t="s">
        <v>12</v>
      </c>
      <c r="B28" s="21" t="s">
        <v>16</v>
      </c>
      <c r="C28" s="22">
        <v>143629.89210389997</v>
      </c>
      <c r="D28" s="22">
        <v>38879.749700048669</v>
      </c>
      <c r="E28" s="22">
        <v>51578.462063991879</v>
      </c>
      <c r="F28" s="22">
        <v>118158.39830223871</v>
      </c>
      <c r="G28" s="22">
        <v>186474.13886921058</v>
      </c>
      <c r="H28" s="22">
        <v>26442.099353165017</v>
      </c>
      <c r="I28" s="22">
        <v>14171.896718475342</v>
      </c>
      <c r="J28" s="22">
        <v>16886.834921884954</v>
      </c>
      <c r="K28" s="22">
        <v>23467.754107334422</v>
      </c>
      <c r="L28" s="22">
        <v>17764.09159416832</v>
      </c>
      <c r="M28" s="22">
        <v>33022.684257780013</v>
      </c>
      <c r="N28" s="22">
        <v>30889.820812332055</v>
      </c>
      <c r="O28" s="22">
        <v>131742.94372725976</v>
      </c>
      <c r="P28" s="22">
        <v>41851.986719512977</v>
      </c>
      <c r="Q28" s="22">
        <v>59456.92964349933</v>
      </c>
      <c r="R28" s="22">
        <v>57166.702272931005</v>
      </c>
      <c r="S28" s="22">
        <v>61346.338440072177</v>
      </c>
      <c r="T28" s="22">
        <v>36317.786700726501</v>
      </c>
      <c r="U28" s="22">
        <v>131502.29564639719</v>
      </c>
      <c r="V28" s="22">
        <v>92286.021150114</v>
      </c>
      <c r="W28" s="22">
        <v>73139.744660968659</v>
      </c>
      <c r="X28" s="22">
        <v>24741.88003915747</v>
      </c>
      <c r="Y28" s="22">
        <v>22252.506490150015</v>
      </c>
      <c r="Z28" s="22">
        <v>91587.908603048301</v>
      </c>
      <c r="AA28" s="22">
        <v>86384.016161800013</v>
      </c>
      <c r="AB28" s="22">
        <v>66784.33146132309</v>
      </c>
      <c r="AC28" s="22">
        <v>80530.226789326989</v>
      </c>
      <c r="AD28" s="22">
        <v>76452.419245781843</v>
      </c>
      <c r="AE28" s="22">
        <v>131933.03096824986</v>
      </c>
      <c r="AF28" s="22">
        <v>99989.521929925424</v>
      </c>
      <c r="AG28" s="22">
        <v>127210.07769101203</v>
      </c>
      <c r="AH28" s="22">
        <v>139996.42718108831</v>
      </c>
      <c r="AI28" s="22">
        <v>46883.849146432687</v>
      </c>
      <c r="AJ28" s="22">
        <v>90582.031245712482</v>
      </c>
      <c r="AK28" s="22">
        <v>79027.286283694673</v>
      </c>
      <c r="AL28" s="22">
        <v>42276.304734746722</v>
      </c>
      <c r="AM28" s="22">
        <v>84770.388227953314</v>
      </c>
      <c r="AN28" s="22">
        <v>88072.760623060749</v>
      </c>
      <c r="AO28" s="22">
        <v>128105.38133619934</v>
      </c>
      <c r="AP28" s="22">
        <v>154454.30484319825</v>
      </c>
      <c r="AQ28" s="22">
        <v>65708.274217657337</v>
      </c>
      <c r="AR28" s="22">
        <v>36165.919346667091</v>
      </c>
      <c r="AS28" s="22">
        <v>58924.594943560514</v>
      </c>
      <c r="AT28" s="22">
        <v>40849.370464653592</v>
      </c>
      <c r="AU28" s="22">
        <v>76838.251857552401</v>
      </c>
      <c r="AV28" s="22">
        <v>53583.466465351172</v>
      </c>
      <c r="AW28" s="22">
        <v>43925.95064551117</v>
      </c>
      <c r="AX28" s="22">
        <v>93812.235406690845</v>
      </c>
      <c r="AY28" s="22">
        <v>67284.671598485904</v>
      </c>
      <c r="AZ28" s="22">
        <v>108056.38274361988</v>
      </c>
      <c r="BA28" s="22">
        <v>133582.75142479502</v>
      </c>
      <c r="BB28" s="22">
        <v>84661.874184077169</v>
      </c>
      <c r="BC28" s="22">
        <v>68231.427577365612</v>
      </c>
      <c r="BD28" s="22">
        <v>40463.935040149867</v>
      </c>
      <c r="BE28" s="22">
        <v>55417.762673416626</v>
      </c>
      <c r="BF28" s="22">
        <v>65421.489855132924</v>
      </c>
      <c r="BG28" s="22">
        <v>15994.464749776336</v>
      </c>
      <c r="BH28" s="22">
        <v>84068.383432702365</v>
      </c>
      <c r="BI28" s="22">
        <v>89276.38092118947</v>
      </c>
      <c r="BJ28" s="22">
        <v>112105.30947322412</v>
      </c>
      <c r="BK28" s="22">
        <v>65627.085512272723</v>
      </c>
      <c r="BL28" s="22">
        <v>65856.264478240002</v>
      </c>
      <c r="BM28" s="22">
        <v>195774.64945442573</v>
      </c>
      <c r="BN28" s="22">
        <v>134160.97828521233</v>
      </c>
      <c r="BO28" s="22">
        <v>168237.14695030655</v>
      </c>
      <c r="BP28" s="3"/>
    </row>
    <row r="29" spans="1:68">
      <c r="A29" s="20" t="s">
        <v>12</v>
      </c>
      <c r="B29" s="21" t="s">
        <v>17</v>
      </c>
      <c r="C29" s="23">
        <v>80983.634621340621</v>
      </c>
      <c r="D29" s="23">
        <v>37443.55841825268</v>
      </c>
      <c r="E29" s="23">
        <v>37315.68978485468</v>
      </c>
      <c r="F29" s="23">
        <v>37291.669157213255</v>
      </c>
      <c r="G29" s="23">
        <v>80198.438028944147</v>
      </c>
      <c r="H29" s="23">
        <v>80375.790870220866</v>
      </c>
      <c r="I29" s="23">
        <v>16914.017783352123</v>
      </c>
      <c r="J29" s="23">
        <v>43496.392980612756</v>
      </c>
      <c r="K29" s="23">
        <v>92030.408264056561</v>
      </c>
      <c r="L29" s="23">
        <v>39362.159791394544</v>
      </c>
      <c r="M29" s="23">
        <v>39361.403836672769</v>
      </c>
      <c r="N29" s="23">
        <v>39281.853056144813</v>
      </c>
      <c r="O29" s="23">
        <v>84303.22169865371</v>
      </c>
      <c r="P29" s="23">
        <v>80166.437886920336</v>
      </c>
      <c r="Q29" s="23">
        <v>105602.80435368318</v>
      </c>
      <c r="R29" s="23">
        <v>80085.413195771995</v>
      </c>
      <c r="S29" s="23">
        <v>37191.332310112521</v>
      </c>
      <c r="T29" s="23">
        <v>16862.523020006956</v>
      </c>
      <c r="U29" s="23">
        <v>95909.622534692724</v>
      </c>
      <c r="V29" s="23">
        <v>81692.540907884118</v>
      </c>
      <c r="W29" s="23">
        <v>82060.776866015338</v>
      </c>
      <c r="X29" s="23">
        <v>56057.81265308593</v>
      </c>
      <c r="Y29" s="23">
        <v>44857.758077912709</v>
      </c>
      <c r="Z29" s="23">
        <v>84685.762348151678</v>
      </c>
      <c r="AA29" s="23">
        <v>163523.50358745587</v>
      </c>
      <c r="AB29" s="23">
        <v>28994.344914519897</v>
      </c>
      <c r="AC29" s="23">
        <v>117010.78859856894</v>
      </c>
      <c r="AD29" s="23">
        <v>73658.511002078027</v>
      </c>
      <c r="AE29" s="23">
        <v>114129.80102450731</v>
      </c>
      <c r="AF29" s="23">
        <v>76620.323317950519</v>
      </c>
      <c r="AG29" s="23">
        <v>83630.452743229267</v>
      </c>
      <c r="AH29" s="23">
        <v>204366.81226715437</v>
      </c>
      <c r="AI29" s="23">
        <v>77386.519784815609</v>
      </c>
      <c r="AJ29" s="23">
        <v>188027.58300777434</v>
      </c>
      <c r="AK29" s="23">
        <v>175797.3677727427</v>
      </c>
      <c r="AL29" s="23">
        <v>48051.93886482541</v>
      </c>
      <c r="AM29" s="23">
        <v>138907.92378879801</v>
      </c>
      <c r="AN29" s="23">
        <v>164677.58660234284</v>
      </c>
      <c r="AO29" s="23">
        <v>118700.19702899741</v>
      </c>
      <c r="AP29" s="23">
        <v>212538.81567063669</v>
      </c>
      <c r="AQ29" s="23">
        <v>104075.82833239461</v>
      </c>
      <c r="AR29" s="23">
        <v>57341.680765276891</v>
      </c>
      <c r="AS29" s="23">
        <v>73353.161886668153</v>
      </c>
      <c r="AT29" s="23">
        <v>46629.335673213216</v>
      </c>
      <c r="AU29" s="23">
        <v>92412.907141058866</v>
      </c>
      <c r="AV29" s="23">
        <v>31129.649953727512</v>
      </c>
      <c r="AW29" s="23">
        <v>28959.619360173503</v>
      </c>
      <c r="AX29" s="23">
        <v>117301.62662059118</v>
      </c>
      <c r="AY29" s="23">
        <v>83034.313421552841</v>
      </c>
      <c r="AZ29" s="23">
        <v>148692.3633322957</v>
      </c>
      <c r="BA29" s="23">
        <v>183818.24845007726</v>
      </c>
      <c r="BB29" s="23">
        <v>116500.05151884646</v>
      </c>
      <c r="BC29" s="23">
        <v>169883.66988147935</v>
      </c>
      <c r="BD29" s="23">
        <v>304927.92042313388</v>
      </c>
      <c r="BE29" s="23">
        <v>168426.53361528579</v>
      </c>
      <c r="BF29" s="23">
        <v>151808.26309675383</v>
      </c>
      <c r="BG29" s="23">
        <v>180524.43284171936</v>
      </c>
      <c r="BH29" s="23">
        <v>137348.9682243703</v>
      </c>
      <c r="BI29" s="23">
        <v>284225.60415415</v>
      </c>
      <c r="BJ29" s="23">
        <v>143096.76696469277</v>
      </c>
      <c r="BK29" s="23">
        <v>250141.00995337797</v>
      </c>
      <c r="BL29" s="23">
        <v>133857.74096146502</v>
      </c>
      <c r="BM29" s="23">
        <v>256185.11271464854</v>
      </c>
      <c r="BN29" s="23">
        <v>249106.55331765465</v>
      </c>
      <c r="BO29" s="23">
        <v>195907.45991168986</v>
      </c>
      <c r="BP29" s="3"/>
    </row>
    <row r="30" spans="1:68">
      <c r="A30" s="20" t="s">
        <v>12</v>
      </c>
      <c r="B30" s="21" t="s">
        <v>18</v>
      </c>
      <c r="C30" s="22">
        <v>15474.579863950437</v>
      </c>
      <c r="D30" s="22">
        <v>3590.478204489983</v>
      </c>
      <c r="E30" s="22">
        <v>3578.2168286846959</v>
      </c>
      <c r="F30" s="22">
        <v>7662.6717446328603</v>
      </c>
      <c r="G30" s="22">
        <v>7662.2711492621793</v>
      </c>
      <c r="H30" s="22">
        <v>3583.6339878442423</v>
      </c>
      <c r="I30" s="22">
        <v>2255.2023711136167</v>
      </c>
      <c r="J30" s="22">
        <v>7164.1117850421015</v>
      </c>
      <c r="K30" s="22">
        <v>7669.2006886713789</v>
      </c>
      <c r="L30" s="22">
        <v>3578.3781628540496</v>
      </c>
      <c r="M30" s="22">
        <v>5623.0576909532529</v>
      </c>
      <c r="N30" s="22">
        <v>12320.217549427234</v>
      </c>
      <c r="O30" s="22">
        <v>10218.572327109541</v>
      </c>
      <c r="P30" s="22">
        <v>7174.1302694982842</v>
      </c>
      <c r="Q30" s="22">
        <v>7346.2820419953523</v>
      </c>
      <c r="R30" s="22">
        <v>8365.6100408322345</v>
      </c>
      <c r="S30" s="22">
        <v>7718.4751301123933</v>
      </c>
      <c r="T30" s="22">
        <v>3576.8988224257182</v>
      </c>
      <c r="U30" s="22">
        <v>3571.102966717282</v>
      </c>
      <c r="V30" s="22">
        <v>7658.6757101141357</v>
      </c>
      <c r="W30" s="22">
        <v>7693.1978311889379</v>
      </c>
      <c r="X30" s="22">
        <v>1528.8494359932527</v>
      </c>
      <c r="Y30" s="22">
        <v>3568.2307561976017</v>
      </c>
      <c r="Z30" s="22">
        <v>7698.7056680137894</v>
      </c>
      <c r="AA30" s="22">
        <v>29589.967315825346</v>
      </c>
      <c r="AB30" s="22">
        <v>8284.0985470056858</v>
      </c>
      <c r="AC30" s="22">
        <v>26804.233511566454</v>
      </c>
      <c r="AD30" s="22">
        <v>32737.116000923565</v>
      </c>
      <c r="AE30" s="22">
        <v>16304.257289215329</v>
      </c>
      <c r="AF30" s="22">
        <v>14302.460352684097</v>
      </c>
      <c r="AG30" s="22">
        <v>21421.634505107166</v>
      </c>
      <c r="AH30" s="22">
        <v>17030.567688929528</v>
      </c>
      <c r="AI30" s="22">
        <v>43336.451079496743</v>
      </c>
      <c r="AJ30" s="22">
        <v>54456.075953071253</v>
      </c>
      <c r="AK30" s="22">
        <v>44331.510133995987</v>
      </c>
      <c r="AL30" s="22">
        <v>15146.806816086271</v>
      </c>
      <c r="AM30" s="22">
        <v>39013.28259553956</v>
      </c>
      <c r="AN30" s="22">
        <v>36122.825448255848</v>
      </c>
      <c r="AO30" s="22">
        <v>17546.985647764832</v>
      </c>
      <c r="AP30" s="22">
        <v>40392.261975452209</v>
      </c>
      <c r="AQ30" s="22">
        <v>46840.367299277517</v>
      </c>
      <c r="AR30" s="22">
        <v>23249.445110284996</v>
      </c>
      <c r="AS30" s="22">
        <v>28869.708713967251</v>
      </c>
      <c r="AT30" s="22">
        <v>43520.713294998997</v>
      </c>
      <c r="AU30" s="22">
        <v>41596.076314269943</v>
      </c>
      <c r="AV30" s="22">
        <v>33827.552949717232</v>
      </c>
      <c r="AW30" s="22">
        <v>11057.309210248066</v>
      </c>
      <c r="AX30" s="22">
        <v>64360.184517492504</v>
      </c>
      <c r="AY30" s="22">
        <v>52966.154498939308</v>
      </c>
      <c r="AZ30" s="22">
        <v>28258.465986629537</v>
      </c>
      <c r="BA30" s="22">
        <v>34934.018164335059</v>
      </c>
      <c r="BB30" s="22">
        <v>22140.429202330601</v>
      </c>
      <c r="BC30" s="22">
        <v>22674.501674466967</v>
      </c>
      <c r="BD30" s="22">
        <v>19803.979403195321</v>
      </c>
      <c r="BE30" s="22">
        <v>33374.532602967025</v>
      </c>
      <c r="BF30" s="22">
        <v>19262.78182849921</v>
      </c>
      <c r="BG30" s="22">
        <v>4172.3709540542386</v>
      </c>
      <c r="BH30" s="22">
        <v>46503.981367306478</v>
      </c>
      <c r="BI30" s="22">
        <v>45397.899326111845</v>
      </c>
      <c r="BJ30" s="22">
        <v>25317.12030913795</v>
      </c>
      <c r="BK30" s="22">
        <v>37746.503754225952</v>
      </c>
      <c r="BL30" s="22">
        <v>31611.35576451536</v>
      </c>
      <c r="BM30" s="22">
        <v>14878.873358536357</v>
      </c>
      <c r="BN30" s="22">
        <v>15130.953853920755</v>
      </c>
      <c r="BO30" s="22">
        <v>66198.473602934158</v>
      </c>
      <c r="BP30" s="3"/>
    </row>
    <row r="31" spans="1:68">
      <c r="A31" s="20" t="s">
        <v>12</v>
      </c>
      <c r="B31" s="21" t="s">
        <v>19</v>
      </c>
      <c r="C31" s="22">
        <v>3610.735301588435</v>
      </c>
      <c r="D31" s="22">
        <v>769.38818667642488</v>
      </c>
      <c r="E31" s="22">
        <v>1533.5214980077267</v>
      </c>
      <c r="F31" s="22">
        <v>408.67582638041921</v>
      </c>
      <c r="G31" s="22">
        <v>1532.4542298524359</v>
      </c>
      <c r="H31" s="22">
        <v>767.92156882376628</v>
      </c>
      <c r="I31" s="22">
        <v>410.03679474793034</v>
      </c>
      <c r="J31" s="22">
        <v>1535.1668110804503</v>
      </c>
      <c r="K31" s="22">
        <v>766.92006886713796</v>
      </c>
      <c r="L31" s="22">
        <v>3578.3781628540496</v>
      </c>
      <c r="M31" s="22">
        <v>766.78059422089814</v>
      </c>
      <c r="N31" s="22">
        <v>408.12314863527075</v>
      </c>
      <c r="O31" s="22">
        <v>766.39292453321559</v>
      </c>
      <c r="P31" s="22">
        <v>765.92138108522602</v>
      </c>
      <c r="Q31" s="22">
        <v>765.23771270784925</v>
      </c>
      <c r="R31" s="22">
        <v>3570.6872125503442</v>
      </c>
      <c r="S31" s="22">
        <v>3566.292139325858</v>
      </c>
      <c r="T31" s="22">
        <v>1532.9566381824507</v>
      </c>
      <c r="U31" s="22">
        <v>3571.102966717282</v>
      </c>
      <c r="V31" s="22">
        <v>3574.04866471993</v>
      </c>
      <c r="W31" s="22">
        <v>3590.1589878881709</v>
      </c>
      <c r="X31" s="22">
        <v>3057.6988719865053</v>
      </c>
      <c r="Y31" s="22">
        <v>5607.2197597390887</v>
      </c>
      <c r="Z31" s="22">
        <v>8417.251530361742</v>
      </c>
      <c r="AA31" s="22">
        <v>8305.9557377755355</v>
      </c>
      <c r="AB31" s="22">
        <v>8284.0985470056858</v>
      </c>
      <c r="AC31" s="22">
        <v>6185.5923488230274</v>
      </c>
      <c r="AD31" s="22">
        <v>2046.0697500577228</v>
      </c>
      <c r="AE31" s="22">
        <v>764.26206043196862</v>
      </c>
      <c r="AF31" s="22">
        <v>612.96258654360417</v>
      </c>
      <c r="AG31" s="22">
        <v>4079.5342801575252</v>
      </c>
      <c r="AH31" s="22">
        <v>8979.7538723446614</v>
      </c>
      <c r="AI31" s="22">
        <v>7738.6519784815609</v>
      </c>
      <c r="AJ31" s="22">
        <v>3596.1559591650825</v>
      </c>
      <c r="AK31" s="22">
        <v>1528.672763241241</v>
      </c>
      <c r="AL31" s="22">
        <v>1096.8377349579712</v>
      </c>
      <c r="AM31" s="22">
        <v>541.00980844058176</v>
      </c>
      <c r="AN31" s="22">
        <v>12.749232511149124</v>
      </c>
      <c r="AO31" s="22">
        <v>10343.431951544198</v>
      </c>
      <c r="AP31" s="22">
        <v>13679.189831792119</v>
      </c>
      <c r="AQ31" s="22">
        <v>8326.0662665915697</v>
      </c>
      <c r="AR31" s="22">
        <v>4170.3040556565011</v>
      </c>
      <c r="AS31" s="22">
        <v>11788.901017500237</v>
      </c>
      <c r="AT31" s="22">
        <v>23262.857463636374</v>
      </c>
      <c r="AU31" s="22">
        <v>10268.100793450985</v>
      </c>
      <c r="AV31" s="22">
        <v>3112.9649953727512</v>
      </c>
      <c r="AW31" s="22">
        <v>4212.3082705706911</v>
      </c>
      <c r="AX31" s="22">
        <v>36332.362227616737</v>
      </c>
      <c r="AY31" s="22">
        <v>41542.081959952397</v>
      </c>
      <c r="AZ31" s="22">
        <v>9569.9745862528798</v>
      </c>
      <c r="BA31" s="22">
        <v>11830.708226927996</v>
      </c>
      <c r="BB31" s="22">
        <v>7498.0483687715878</v>
      </c>
      <c r="BC31" s="22">
        <v>8754.6338511455469</v>
      </c>
      <c r="BD31" s="22">
        <v>5445.141436127391</v>
      </c>
      <c r="BE31" s="22">
        <v>21120.687315356838</v>
      </c>
      <c r="BF31" s="22">
        <v>11485.700735335138</v>
      </c>
      <c r="BG31" s="22">
        <v>2256.5554105214919</v>
      </c>
      <c r="BH31" s="22">
        <v>16484.039162801982</v>
      </c>
      <c r="BI31" s="22">
        <v>10860.741465576995</v>
      </c>
      <c r="BJ31" s="22">
        <v>27518.609031671687</v>
      </c>
      <c r="BK31" s="22">
        <v>16901.419591444457</v>
      </c>
      <c r="BL31" s="22">
        <v>16350.701257507946</v>
      </c>
      <c r="BM31" s="22">
        <v>33561.368477901553</v>
      </c>
      <c r="BN31" s="22">
        <v>27286.922999705672</v>
      </c>
      <c r="BO31" s="22">
        <v>4326.6976211068077</v>
      </c>
      <c r="BP31" s="3"/>
    </row>
    <row r="32" spans="1:68">
      <c r="A32" s="20" t="s">
        <v>20</v>
      </c>
      <c r="B32" s="21" t="s">
        <v>21</v>
      </c>
      <c r="C32" s="22">
        <v>86748.405492412581</v>
      </c>
      <c r="D32" s="22">
        <v>39490.556336108253</v>
      </c>
      <c r="E32" s="22">
        <v>18779.275385731438</v>
      </c>
      <c r="F32" s="22">
        <v>101895.46512604681</v>
      </c>
      <c r="G32" s="22">
        <v>113619.09550346519</v>
      </c>
      <c r="H32" s="22">
        <v>250893.65557148936</v>
      </c>
      <c r="I32" s="22">
        <v>39349.532898026533</v>
      </c>
      <c r="J32" s="22">
        <v>30626.730038858088</v>
      </c>
      <c r="K32" s="22">
        <v>69943.956259628438</v>
      </c>
      <c r="L32" s="22">
        <v>57990.48567484205</v>
      </c>
      <c r="M32" s="22">
        <v>50689.176614945507</v>
      </c>
      <c r="N32" s="22">
        <v>16023.363843714313</v>
      </c>
      <c r="O32" s="22">
        <v>33318.423230580549</v>
      </c>
      <c r="P32" s="22">
        <v>57321.676607573223</v>
      </c>
      <c r="Q32" s="22">
        <v>158198.92556810004</v>
      </c>
      <c r="R32" s="22">
        <v>86915.692510987152</v>
      </c>
      <c r="S32" s="22">
        <v>161472.61234080981</v>
      </c>
      <c r="T32" s="22">
        <v>51668.923128927621</v>
      </c>
      <c r="U32" s="22">
        <v>451682.47469887033</v>
      </c>
      <c r="V32" s="22">
        <v>342397.16929645539</v>
      </c>
      <c r="W32" s="22">
        <v>191082.17582333935</v>
      </c>
      <c r="X32" s="22">
        <v>88493.357418451385</v>
      </c>
      <c r="Y32" s="22">
        <v>170188.14783125866</v>
      </c>
      <c r="Z32" s="22">
        <v>169515.47564302883</v>
      </c>
      <c r="AA32" s="22">
        <v>154184.01885371993</v>
      </c>
      <c r="AB32" s="22">
        <v>43335.909651205598</v>
      </c>
      <c r="AC32" s="22">
        <v>302890.02582501475</v>
      </c>
      <c r="AD32" s="22">
        <v>182870.09928187449</v>
      </c>
      <c r="AE32" s="22">
        <v>191681.05188750534</v>
      </c>
      <c r="AF32" s="22">
        <v>135177.88985041084</v>
      </c>
      <c r="AG32" s="22">
        <v>201401.67697786161</v>
      </c>
      <c r="AH32" s="22">
        <v>436017.11811013799</v>
      </c>
      <c r="AI32" s="22">
        <v>284463.73621264833</v>
      </c>
      <c r="AJ32" s="22">
        <v>110599.94096167343</v>
      </c>
      <c r="AK32" s="22">
        <v>133420.11051139544</v>
      </c>
      <c r="AL32" s="22">
        <v>84247.700800053179</v>
      </c>
      <c r="AM32" s="22">
        <v>129785.95246421032</v>
      </c>
      <c r="AN32" s="22">
        <v>164099.773648139</v>
      </c>
      <c r="AO32" s="22">
        <v>193733.77120472191</v>
      </c>
      <c r="AP32" s="22">
        <v>143182.87257245896</v>
      </c>
      <c r="AQ32" s="22">
        <v>302546.33970501693</v>
      </c>
      <c r="AR32" s="22">
        <v>126969.18915821983</v>
      </c>
      <c r="AS32" s="22">
        <v>197255.32983624007</v>
      </c>
      <c r="AT32" s="22">
        <v>283061.87904523604</v>
      </c>
      <c r="AU32" s="22">
        <v>8962.2446031788495</v>
      </c>
      <c r="AV32" s="22">
        <v>49609.70469240981</v>
      </c>
      <c r="AW32" s="22">
        <v>331544.27961593476</v>
      </c>
      <c r="AX32" s="22">
        <v>564983.49023043073</v>
      </c>
      <c r="AY32" s="22">
        <v>584523.36790989421</v>
      </c>
      <c r="AZ32" s="22">
        <v>664581.68765504926</v>
      </c>
      <c r="BA32" s="22">
        <v>1247949.2524345156</v>
      </c>
      <c r="BB32" s="22">
        <v>310817.71427779197</v>
      </c>
      <c r="BC32" s="22">
        <v>31540.820518329536</v>
      </c>
      <c r="BD32" s="22">
        <v>628660.60585486353</v>
      </c>
      <c r="BE32" s="22">
        <v>459277.87228548905</v>
      </c>
      <c r="BF32" s="22">
        <v>713096.88022691174</v>
      </c>
      <c r="BG32" s="22">
        <v>231456.43733999849</v>
      </c>
      <c r="BH32" s="22">
        <v>231193.26403334341</v>
      </c>
      <c r="BI32" s="22">
        <v>856757.18402639264</v>
      </c>
      <c r="BJ32" s="22">
        <v>1154990.5401915023</v>
      </c>
      <c r="BK32" s="22">
        <v>260550.89767782949</v>
      </c>
      <c r="BL32" s="22">
        <v>449480.57886825112</v>
      </c>
      <c r="BM32" s="22">
        <v>1398675.7833986878</v>
      </c>
      <c r="BN32" s="22">
        <v>222594.27956724833</v>
      </c>
      <c r="BO32" s="22">
        <v>105828.95079888274</v>
      </c>
      <c r="BP32" s="22"/>
    </row>
    <row r="33" spans="1:68">
      <c r="A33" s="20" t="s">
        <v>20</v>
      </c>
      <c r="B33" s="21" t="s">
        <v>15</v>
      </c>
      <c r="C33" s="3">
        <v>9688.9507251391624</v>
      </c>
      <c r="D33" s="3">
        <v>1942.1585083331956</v>
      </c>
      <c r="E33" s="3">
        <v>1942.6836605929093</v>
      </c>
      <c r="F33" s="3">
        <v>9688.9507251391624</v>
      </c>
      <c r="G33" s="3">
        <v>9688.9507251391624</v>
      </c>
      <c r="H33" s="3">
        <v>4522.9348158650973</v>
      </c>
      <c r="I33" s="3">
        <v>45229.348158651177</v>
      </c>
      <c r="J33" s="3">
        <v>19384.006353707653</v>
      </c>
      <c r="K33" s="3">
        <v>9692.003176853832</v>
      </c>
      <c r="L33" s="3">
        <v>9692.0031768538247</v>
      </c>
      <c r="M33" s="3">
        <v>9692.0031768538247</v>
      </c>
      <c r="N33" s="3">
        <v>9537.7165736394709</v>
      </c>
      <c r="O33" s="3">
        <v>9537.7165736394745</v>
      </c>
      <c r="P33" s="3">
        <v>6358.4777157596473</v>
      </c>
      <c r="Q33" s="3">
        <v>19075.433147278934</v>
      </c>
      <c r="R33" s="3">
        <v>22906.03902192926</v>
      </c>
      <c r="S33" s="3">
        <v>20363.048649875505</v>
      </c>
      <c r="T33" s="3">
        <v>8838.7698412144018</v>
      </c>
      <c r="U33" s="3">
        <v>10113.662195700803</v>
      </c>
      <c r="V33" s="3">
        <v>17647.909116899129</v>
      </c>
      <c r="W33" s="3">
        <v>11370.179057256551</v>
      </c>
      <c r="X33" s="3">
        <v>10102.702238282</v>
      </c>
      <c r="Y33" s="3">
        <v>5570.8482465837151</v>
      </c>
      <c r="Z33" s="3">
        <v>27131.56202132898</v>
      </c>
      <c r="AA33" s="3">
        <v>29690.781614487903</v>
      </c>
      <c r="AB33" s="3">
        <v>10070.507093756016</v>
      </c>
      <c r="AC33" s="3">
        <v>30902.478587418911</v>
      </c>
      <c r="AD33" s="3">
        <v>18534.507383447752</v>
      </c>
      <c r="AE33" s="3">
        <v>2669.7201382189523</v>
      </c>
      <c r="AF33" s="3">
        <v>12202.703616311221</v>
      </c>
      <c r="AG33" s="3">
        <v>9568.2034368551977</v>
      </c>
      <c r="AH33" s="3">
        <v>8151.782692041772</v>
      </c>
      <c r="AI33" s="3">
        <v>313.02723017602693</v>
      </c>
      <c r="AJ33" s="3">
        <v>3191.2092899456329</v>
      </c>
      <c r="AK33" s="3">
        <v>2141.7811132940114</v>
      </c>
      <c r="AL33" s="3">
        <v>822.07850015013537</v>
      </c>
      <c r="AM33" s="3">
        <v>142.81798360850371</v>
      </c>
      <c r="AN33" s="3">
        <v>2156.0255011595145</v>
      </c>
      <c r="AO33" s="3">
        <v>16414.883791200147</v>
      </c>
      <c r="AP33" s="3">
        <v>6960.6614024924638</v>
      </c>
      <c r="AQ33" s="3">
        <v>63.276121828122996</v>
      </c>
      <c r="AR33" s="3">
        <v>79.789599169380381</v>
      </c>
      <c r="AS33" s="3">
        <v>98.354240130574908</v>
      </c>
      <c r="AT33" s="3">
        <v>3441.1977250801283</v>
      </c>
      <c r="AU33" s="3">
        <v>109407.60885818332</v>
      </c>
      <c r="AV33" s="3">
        <v>24008.501557444455</v>
      </c>
      <c r="AW33" s="3">
        <v>1377.1869467253564</v>
      </c>
      <c r="AX33" s="3">
        <v>5355.8014051610371</v>
      </c>
      <c r="AY33" s="3">
        <v>7384.3977455135901</v>
      </c>
      <c r="AZ33" s="3">
        <v>10391.918358490686</v>
      </c>
      <c r="BA33" s="3">
        <v>25378.091751464875</v>
      </c>
      <c r="BB33" s="3">
        <v>6072.2621219778666</v>
      </c>
      <c r="BC33" s="3">
        <v>18248.762095916129</v>
      </c>
      <c r="BD33" s="3">
        <v>278.29671652952675</v>
      </c>
      <c r="BE33" s="3">
        <v>867.79831843136344</v>
      </c>
      <c r="BF33" s="3">
        <v>1091.7065656076884</v>
      </c>
      <c r="BG33" s="3">
        <v>436.82432208681712</v>
      </c>
      <c r="BH33" s="3">
        <v>3577.4434896766616</v>
      </c>
      <c r="BI33" s="3">
        <v>100618.64976460417</v>
      </c>
      <c r="BJ33" s="3">
        <v>1270.9651307025924</v>
      </c>
      <c r="BK33" s="3">
        <v>30599.427711937518</v>
      </c>
      <c r="BL33" s="3">
        <v>775.48627821117407</v>
      </c>
      <c r="BM33" s="3">
        <v>893.99222421133891</v>
      </c>
      <c r="BN33" s="3">
        <v>26141.754365133413</v>
      </c>
      <c r="BO33" s="3">
        <v>12428.686136421456</v>
      </c>
      <c r="BP33" s="3"/>
    </row>
    <row r="34" spans="1:68">
      <c r="L34" s="8"/>
      <c r="M34" s="15"/>
      <c r="N34" s="15"/>
      <c r="O34" s="16"/>
      <c r="P34" s="9"/>
      <c r="Q34" s="9"/>
    </row>
    <row r="35" spans="1:68">
      <c r="B35" s="21" t="s">
        <v>22</v>
      </c>
      <c r="C35" s="3">
        <f t="shared" ref="C35:AG35" si="3">SUM(C17:C33)</f>
        <v>802743.27890399564</v>
      </c>
      <c r="D35" s="3">
        <f t="shared" si="3"/>
        <v>368322.68181786727</v>
      </c>
      <c r="E35" s="3">
        <f t="shared" si="3"/>
        <v>349294.9552182075</v>
      </c>
      <c r="F35" s="3">
        <f t="shared" si="3"/>
        <v>820978.6560012491</v>
      </c>
      <c r="G35" s="3">
        <f t="shared" si="3"/>
        <v>883462.28150955844</v>
      </c>
      <c r="H35" s="3">
        <f t="shared" si="3"/>
        <v>765008.17932948039</v>
      </c>
      <c r="I35" s="3">
        <f t="shared" si="3"/>
        <v>441157.6633885887</v>
      </c>
      <c r="J35" s="3">
        <f t="shared" si="3"/>
        <v>390744.35461163527</v>
      </c>
      <c r="K35" s="3">
        <f t="shared" si="3"/>
        <v>447956.68634384725</v>
      </c>
      <c r="L35" s="3">
        <f t="shared" si="3"/>
        <v>433402.99937649746</v>
      </c>
      <c r="M35" s="3">
        <f t="shared" si="3"/>
        <v>507289.14810400916</v>
      </c>
      <c r="N35" s="3">
        <f t="shared" si="3"/>
        <v>207370.45391475878</v>
      </c>
      <c r="O35" s="3">
        <f t="shared" si="3"/>
        <v>540076.16623198264</v>
      </c>
      <c r="P35" s="3">
        <f t="shared" si="3"/>
        <v>461384.15523533971</v>
      </c>
      <c r="Q35" s="3">
        <f t="shared" si="3"/>
        <v>1012569.5571171198</v>
      </c>
      <c r="R35" s="3">
        <f t="shared" si="3"/>
        <v>655813.60504698416</v>
      </c>
      <c r="S35" s="3">
        <f t="shared" si="3"/>
        <v>868345.15107557899</v>
      </c>
      <c r="T35" s="3">
        <f t="shared" si="3"/>
        <v>394469.54884146387</v>
      </c>
      <c r="U35" s="3">
        <f t="shared" si="3"/>
        <v>1404156.8728921097</v>
      </c>
      <c r="V35" s="3">
        <f t="shared" si="3"/>
        <v>1249033.6279832129</v>
      </c>
      <c r="W35" s="3">
        <f t="shared" si="3"/>
        <v>840846.52565255621</v>
      </c>
      <c r="X35" s="3">
        <f t="shared" si="3"/>
        <v>487036.46839231916</v>
      </c>
      <c r="Y35" s="3">
        <f t="shared" si="3"/>
        <v>546598.76635040168</v>
      </c>
      <c r="Z35" s="3">
        <f t="shared" si="3"/>
        <v>887374.97565842199</v>
      </c>
      <c r="AA35" s="3">
        <f t="shared" si="3"/>
        <v>1103301.2381555005</v>
      </c>
      <c r="AB35" s="3">
        <f t="shared" si="3"/>
        <v>498961.03353203618</v>
      </c>
      <c r="AC35" s="3">
        <f t="shared" si="3"/>
        <v>1113587.958741731</v>
      </c>
      <c r="AD35" s="3">
        <f t="shared" si="3"/>
        <v>922537.58888784109</v>
      </c>
      <c r="AE35" s="3">
        <f t="shared" si="3"/>
        <v>1089905.555916457</v>
      </c>
      <c r="AF35" s="3">
        <f t="shared" si="3"/>
        <v>859750.01917757944</v>
      </c>
      <c r="AG35" s="3">
        <f t="shared" si="3"/>
        <v>1065615.7596383728</v>
      </c>
      <c r="AH35" s="3">
        <f t="shared" ref="AH35:BI35" si="4">SUM(AH17:AH33)</f>
        <v>1672292.3502176658</v>
      </c>
      <c r="AI35" s="3">
        <f t="shared" si="4"/>
        <v>1405583.6895282576</v>
      </c>
      <c r="AJ35" s="3">
        <f t="shared" si="4"/>
        <v>951291.17701093247</v>
      </c>
      <c r="AK35" s="3">
        <f t="shared" si="4"/>
        <v>1057710.2239578809</v>
      </c>
      <c r="AL35" s="3">
        <f t="shared" si="4"/>
        <v>467458.24951987196</v>
      </c>
      <c r="AM35" s="3">
        <f t="shared" si="4"/>
        <v>966979.10068246664</v>
      </c>
      <c r="AN35" s="3">
        <f t="shared" si="4"/>
        <v>910821.26950114698</v>
      </c>
      <c r="AO35" s="3">
        <f t="shared" si="4"/>
        <v>1270241.0156271183</v>
      </c>
      <c r="AP35" s="3">
        <f t="shared" si="4"/>
        <v>1483648.8454415207</v>
      </c>
      <c r="AQ35" s="3">
        <f t="shared" si="4"/>
        <v>1314794.5105481558</v>
      </c>
      <c r="AR35" s="3">
        <f t="shared" si="4"/>
        <v>626259.72609251598</v>
      </c>
      <c r="AS35" s="3">
        <f t="shared" si="4"/>
        <v>646423.59122312488</v>
      </c>
      <c r="AT35" s="3">
        <f t="shared" si="4"/>
        <v>893497.42820214317</v>
      </c>
      <c r="AU35" s="3">
        <f t="shared" si="4"/>
        <v>1429746.6216972151</v>
      </c>
      <c r="AV35" s="3">
        <f t="shared" si="4"/>
        <v>622340.0800583252</v>
      </c>
      <c r="AW35" s="3">
        <f t="shared" si="4"/>
        <v>565617.52544443088</v>
      </c>
      <c r="AX35" s="3">
        <f t="shared" si="4"/>
        <v>1571280.4135894356</v>
      </c>
      <c r="AY35" s="3">
        <f t="shared" si="4"/>
        <v>1599149.4423011236</v>
      </c>
      <c r="AZ35" s="3">
        <f t="shared" si="4"/>
        <v>1507580.9447674989</v>
      </c>
      <c r="BA35" s="3">
        <f t="shared" si="4"/>
        <v>2284392.1580396947</v>
      </c>
      <c r="BB35" s="3">
        <f t="shared" si="4"/>
        <v>1016977.0027040344</v>
      </c>
      <c r="BC35" s="3">
        <f t="shared" si="4"/>
        <v>850514.23837449565</v>
      </c>
      <c r="BD35" s="3">
        <f t="shared" si="4"/>
        <v>1310591.1554591581</v>
      </c>
      <c r="BE35" s="3">
        <f t="shared" si="4"/>
        <v>1046983.9370739086</v>
      </c>
      <c r="BF35" s="3">
        <f t="shared" si="4"/>
        <v>1372870.1560723954</v>
      </c>
      <c r="BG35" s="3">
        <f t="shared" si="4"/>
        <v>594132.80778175523</v>
      </c>
      <c r="BH35" s="3">
        <f t="shared" si="4"/>
        <v>1239340.5048518474</v>
      </c>
      <c r="BI35" s="3">
        <f t="shared" si="4"/>
        <v>2023111.3893505333</v>
      </c>
      <c r="BJ35" s="3">
        <f>SUM(BJ17:BJ33)</f>
        <v>2042113.1380799259</v>
      </c>
      <c r="BK35" s="3">
        <f t="shared" ref="BK35:BO35" si="5">SUM(BK17:BK33)</f>
        <v>910668.57224872196</v>
      </c>
      <c r="BL35" s="3">
        <f t="shared" si="5"/>
        <v>1036407.6549272037</v>
      </c>
      <c r="BM35" s="3">
        <f t="shared" si="5"/>
        <v>2748090.1188584366</v>
      </c>
      <c r="BN35" s="3">
        <f t="shared" si="5"/>
        <v>918254.62652561814</v>
      </c>
      <c r="BO35" s="3">
        <f t="shared" si="5"/>
        <v>725189.42220023018</v>
      </c>
      <c r="BP35" s="3"/>
    </row>
    <row r="36" spans="1:68">
      <c r="A36" s="24" t="s">
        <v>28</v>
      </c>
      <c r="B36" s="2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</row>
    <row r="37" spans="1:68">
      <c r="A37" s="12"/>
      <c r="B37" s="2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spans="1:68">
      <c r="A38" s="20" t="s">
        <v>5</v>
      </c>
      <c r="B38" s="21" t="s">
        <v>6</v>
      </c>
      <c r="C38" s="3">
        <v>49646.309466041559</v>
      </c>
      <c r="D38" s="3">
        <v>23600.091485941637</v>
      </c>
      <c r="E38" s="3">
        <v>28482.507410471691</v>
      </c>
      <c r="F38" s="3">
        <v>31056.502584412559</v>
      </c>
      <c r="G38" s="3">
        <v>50018.52002576775</v>
      </c>
      <c r="H38" s="3">
        <v>8704.2126754106266</v>
      </c>
      <c r="I38" s="3">
        <v>9644.4515297883227</v>
      </c>
      <c r="J38" s="3">
        <v>14971.249200293811</v>
      </c>
      <c r="K38" s="3">
        <v>9775.6076590757566</v>
      </c>
      <c r="L38" s="3">
        <v>15158.247546518822</v>
      </c>
      <c r="M38" s="3">
        <v>7295.2295963251918</v>
      </c>
      <c r="N38" s="3">
        <v>2063.8067988058165</v>
      </c>
      <c r="O38" s="3">
        <v>16043.47819937169</v>
      </c>
      <c r="P38" s="3">
        <v>18198.271146796815</v>
      </c>
      <c r="Q38" s="3">
        <v>10714.603522977175</v>
      </c>
      <c r="R38" s="3">
        <v>16136.748350354095</v>
      </c>
      <c r="S38" s="3">
        <v>19670.55058369775</v>
      </c>
      <c r="T38" s="3">
        <v>10191.939382398366</v>
      </c>
      <c r="U38" s="3">
        <v>18655.412977523374</v>
      </c>
      <c r="V38" s="3">
        <v>47327.793211341508</v>
      </c>
      <c r="W38" s="3">
        <v>26077.549798019434</v>
      </c>
      <c r="X38" s="3">
        <v>14254.010290709317</v>
      </c>
      <c r="Y38" s="3">
        <v>19905.461365263094</v>
      </c>
      <c r="Z38" s="3">
        <v>48231.69621117683</v>
      </c>
      <c r="AA38" s="3">
        <v>41251.796724187538</v>
      </c>
      <c r="AB38" s="3">
        <v>5493.1630215538971</v>
      </c>
      <c r="AC38" s="3">
        <v>6604.9583479714574</v>
      </c>
      <c r="AD38" s="3">
        <v>15431.737030796974</v>
      </c>
      <c r="AE38" s="3">
        <v>18737.710207192835</v>
      </c>
      <c r="AF38" s="3">
        <v>10174.540892127465</v>
      </c>
      <c r="AG38" s="3">
        <v>14949.495849456405</v>
      </c>
      <c r="AH38" s="3">
        <v>12892.436549763692</v>
      </c>
      <c r="AI38" s="3">
        <v>3088.6898330617814</v>
      </c>
      <c r="AJ38" s="3">
        <v>4113.0305661410912</v>
      </c>
      <c r="AK38" s="3">
        <v>16826.452345539805</v>
      </c>
      <c r="AL38" s="3">
        <v>3252.5257168933972</v>
      </c>
      <c r="AM38" s="3">
        <v>1322.7603625516128</v>
      </c>
      <c r="AN38" s="3">
        <v>3751.2745747557847</v>
      </c>
      <c r="AO38" s="3">
        <v>1209.2657925058245</v>
      </c>
      <c r="AP38" s="3">
        <v>3852.8381961087475</v>
      </c>
      <c r="AQ38" s="3">
        <v>7056.4152877450124</v>
      </c>
      <c r="AR38" s="3">
        <v>2615.7075775906001</v>
      </c>
      <c r="AS38" s="3">
        <v>6818.0416304018099</v>
      </c>
      <c r="AT38" s="3">
        <v>278.17008771445546</v>
      </c>
      <c r="AU38" s="3">
        <v>5978.0233647804907</v>
      </c>
      <c r="AV38" s="3">
        <v>237.56073634724936</v>
      </c>
      <c r="AW38" s="3">
        <v>1425.1562600807622</v>
      </c>
      <c r="AX38" s="3">
        <v>1698.1727687376517</v>
      </c>
      <c r="AY38" s="3">
        <v>1860.3864428814841</v>
      </c>
      <c r="AZ38" s="3">
        <v>625.68877834202749</v>
      </c>
      <c r="BA38" s="3">
        <v>2692.9828217317922</v>
      </c>
      <c r="BB38" s="3">
        <v>1340.6869179337082</v>
      </c>
      <c r="BC38" s="3">
        <v>5393.2157794158875</v>
      </c>
      <c r="BD38" s="3">
        <v>148.88073446964322</v>
      </c>
      <c r="BE38" s="3">
        <v>363.30876891130112</v>
      </c>
      <c r="BF38" s="3">
        <v>909.90004099609132</v>
      </c>
      <c r="BG38" s="3">
        <v>590.88611248269433</v>
      </c>
      <c r="BH38" s="3">
        <v>4683.3964768443893</v>
      </c>
      <c r="BI38" s="3">
        <v>1272.6712988593833</v>
      </c>
      <c r="BJ38" s="3">
        <v>4893.7890939882409</v>
      </c>
      <c r="BK38" s="3">
        <v>1699.2882082035142</v>
      </c>
      <c r="BL38" s="3">
        <v>4664.2531507930935</v>
      </c>
      <c r="BM38" s="3">
        <v>4983.7917232540603</v>
      </c>
      <c r="BN38" s="3">
        <v>1139.845308968082</v>
      </c>
      <c r="BO38" s="3">
        <v>1756.0380888538164</v>
      </c>
      <c r="BP38" s="3"/>
    </row>
    <row r="39" spans="1:68">
      <c r="A39" s="20" t="s">
        <v>7</v>
      </c>
      <c r="B39" s="21" t="s">
        <v>6</v>
      </c>
      <c r="C39" s="22">
        <v>58689.252182428041</v>
      </c>
      <c r="D39" s="22">
        <v>25250.483910202911</v>
      </c>
      <c r="E39" s="22">
        <v>20343.526244086315</v>
      </c>
      <c r="F39" s="22">
        <v>35495.090868529966</v>
      </c>
      <c r="G39" s="22">
        <v>44112.212905760498</v>
      </c>
      <c r="H39" s="22">
        <v>20461.752768447666</v>
      </c>
      <c r="I39" s="22">
        <v>24128.354785810709</v>
      </c>
      <c r="J39" s="22">
        <v>25322.043018359389</v>
      </c>
      <c r="K39" s="22">
        <v>11803.88068472411</v>
      </c>
      <c r="L39" s="22">
        <v>7644.6706760629249</v>
      </c>
      <c r="M39" s="22">
        <v>21695.204981506249</v>
      </c>
      <c r="N39" s="22">
        <v>16120.852870433788</v>
      </c>
      <c r="O39" s="22">
        <v>7385.2368042117823</v>
      </c>
      <c r="P39" s="22">
        <v>5430.1943887212456</v>
      </c>
      <c r="Q39" s="22">
        <v>32537.0706936635</v>
      </c>
      <c r="R39" s="22">
        <v>9322.1609543772192</v>
      </c>
      <c r="S39" s="22">
        <v>5254.975105777201</v>
      </c>
      <c r="T39" s="22">
        <v>1094.1984522840389</v>
      </c>
      <c r="U39" s="22">
        <v>9627.4855006434973</v>
      </c>
      <c r="V39" s="22">
        <v>5622.5913900256292</v>
      </c>
      <c r="W39" s="22">
        <v>4325.441322953141</v>
      </c>
      <c r="X39" s="22">
        <v>714.73041095843371</v>
      </c>
      <c r="Y39" s="22">
        <v>908.99164727048856</v>
      </c>
      <c r="Z39" s="22">
        <v>455.29410669982008</v>
      </c>
      <c r="AA39" s="22">
        <v>482.59389930135126</v>
      </c>
      <c r="AB39" s="22">
        <v>6170.7670957681376</v>
      </c>
      <c r="AC39" s="22">
        <v>2861.0538698516257</v>
      </c>
      <c r="AD39" s="22">
        <v>8957.2280021094448</v>
      </c>
      <c r="AE39" s="22">
        <v>1057.8457878459665</v>
      </c>
      <c r="AF39" s="22">
        <v>1408.5350582403371</v>
      </c>
      <c r="AG39" s="22">
        <v>1455.4487133118571</v>
      </c>
      <c r="AH39" s="22">
        <v>2472.0142443948516</v>
      </c>
      <c r="AI39" s="22">
        <v>2669.8965617102972</v>
      </c>
      <c r="AJ39" s="22">
        <v>1827.4502978073351</v>
      </c>
      <c r="AK39" s="22">
        <v>3910.4882888548123</v>
      </c>
      <c r="AL39" s="22">
        <v>1163.6338230607214</v>
      </c>
      <c r="AM39" s="22">
        <v>657.02400063036123</v>
      </c>
      <c r="AN39" s="22">
        <v>1775.4701078087585</v>
      </c>
      <c r="AO39" s="22">
        <v>1769.7785107790687</v>
      </c>
      <c r="AP39" s="22">
        <v>2654.6677661686031</v>
      </c>
      <c r="AQ39" s="22">
        <v>5518.8439294579084</v>
      </c>
      <c r="AR39" s="22">
        <v>1211.8635463624637</v>
      </c>
      <c r="AS39" s="22">
        <v>2644.4904033881749</v>
      </c>
      <c r="AT39" s="22">
        <v>2984.9337365748697</v>
      </c>
      <c r="AU39" s="22">
        <v>4751.5913865370549</v>
      </c>
      <c r="AV39" s="22">
        <v>1152.3775952374294</v>
      </c>
      <c r="AW39" s="22">
        <v>399.13638207591333</v>
      </c>
      <c r="AX39" s="22">
        <v>305.64280289085576</v>
      </c>
      <c r="AY39" s="22">
        <v>2412.2308159365948</v>
      </c>
      <c r="AZ39" s="22">
        <v>3667.4344650310509</v>
      </c>
      <c r="BA39" s="22">
        <v>988.15142005357427</v>
      </c>
      <c r="BB39" s="22">
        <v>2566.69047833374</v>
      </c>
      <c r="BC39" s="22">
        <v>3422.9827099687891</v>
      </c>
      <c r="BD39" s="22">
        <v>1719.1834509618523</v>
      </c>
      <c r="BE39" s="22">
        <v>2511.4693366400215</v>
      </c>
      <c r="BF39" s="22">
        <v>908.63588056520621</v>
      </c>
      <c r="BG39" s="22">
        <v>984.58828511461797</v>
      </c>
      <c r="BH39" s="22">
        <v>2356.1508541414119</v>
      </c>
      <c r="BI39" s="22">
        <v>2254.8421665652031</v>
      </c>
      <c r="BJ39" s="22">
        <v>1578.3895165956421</v>
      </c>
      <c r="BK39" s="22">
        <v>907.95824907958047</v>
      </c>
      <c r="BL39" s="22">
        <v>568.53460456384937</v>
      </c>
      <c r="BM39" s="22">
        <v>5044.9213578345061</v>
      </c>
      <c r="BN39" s="22">
        <v>33.722398783186108</v>
      </c>
      <c r="BO39" s="22">
        <v>1701.4734482523959</v>
      </c>
      <c r="BP39" s="22"/>
    </row>
    <row r="40" spans="1:68">
      <c r="A40" s="20" t="s">
        <v>7</v>
      </c>
      <c r="B40" s="21" t="s">
        <v>8</v>
      </c>
      <c r="C40" s="3">
        <v>3876.1961769422705</v>
      </c>
      <c r="D40" s="3">
        <v>1082.1635961515531</v>
      </c>
      <c r="E40" s="3">
        <v>1014.5748382600577</v>
      </c>
      <c r="F40" s="3">
        <v>4754.79410388408</v>
      </c>
      <c r="G40" s="3">
        <v>4017.0915532737199</v>
      </c>
      <c r="H40" s="3">
        <v>1361.9023758220064</v>
      </c>
      <c r="I40" s="3">
        <v>1430.8325247515713</v>
      </c>
      <c r="J40" s="3">
        <v>2183.8879895746613</v>
      </c>
      <c r="K40" s="3">
        <v>5882.4619913971655</v>
      </c>
      <c r="L40" s="3">
        <v>3511.2150198196005</v>
      </c>
      <c r="M40" s="3">
        <v>1556.9101858803224</v>
      </c>
      <c r="N40" s="3">
        <v>782.56567332202758</v>
      </c>
      <c r="O40" s="3">
        <v>5139.0357485528993</v>
      </c>
      <c r="P40" s="3">
        <v>4548.3679495271972</v>
      </c>
      <c r="Q40" s="3">
        <v>3827.8906698427636</v>
      </c>
      <c r="R40" s="3">
        <v>1462.2997575493682</v>
      </c>
      <c r="S40" s="3">
        <v>3572.2021786462992</v>
      </c>
      <c r="T40" s="3">
        <v>2032.0828399560728</v>
      </c>
      <c r="U40" s="3">
        <v>1997.2345026737148</v>
      </c>
      <c r="V40" s="3">
        <v>7352.6195100335153</v>
      </c>
      <c r="W40" s="3">
        <v>2896.5008859061218</v>
      </c>
      <c r="X40" s="3">
        <v>3107.5235259062338</v>
      </c>
      <c r="Y40" s="3">
        <v>1927.5492520244734</v>
      </c>
      <c r="Z40" s="3">
        <v>2165.4231904015833</v>
      </c>
      <c r="AA40" s="3">
        <v>1930.3755972054048</v>
      </c>
      <c r="AB40" s="3">
        <v>3552.9900390499906</v>
      </c>
      <c r="AC40" s="3">
        <v>1647.3309951593428</v>
      </c>
      <c r="AD40" s="3">
        <v>5157.3720698063298</v>
      </c>
      <c r="AE40" s="3">
        <v>609.0840066942842</v>
      </c>
      <c r="AF40" s="3">
        <v>1126.8280465922694</v>
      </c>
      <c r="AG40" s="3">
        <v>838.01490163054746</v>
      </c>
      <c r="AH40" s="3">
        <v>483.0372661461206</v>
      </c>
      <c r="AI40" s="3">
        <v>1237.1045568160603</v>
      </c>
      <c r="AJ40" s="3">
        <v>742.86597471842879</v>
      </c>
      <c r="AK40" s="3">
        <v>1751.8987534069561</v>
      </c>
      <c r="AL40" s="3">
        <v>961.68084550472827</v>
      </c>
      <c r="AM40" s="3">
        <v>378.2997629674536</v>
      </c>
      <c r="AN40" s="3">
        <v>221.93376347609501</v>
      </c>
      <c r="AO40" s="3">
        <v>126.41275076993338</v>
      </c>
      <c r="AP40" s="3">
        <v>758.47650461960075</v>
      </c>
      <c r="AQ40" s="3">
        <v>1766.0300574265311</v>
      </c>
      <c r="AR40" s="3">
        <v>697.76399628928971</v>
      </c>
      <c r="AS40" s="3">
        <v>39.177635605750766</v>
      </c>
      <c r="AT40" s="3">
        <v>122.83677928291627</v>
      </c>
      <c r="AU40" s="3">
        <v>2186.3814580421076</v>
      </c>
      <c r="AV40" s="3">
        <v>128.04195502638095</v>
      </c>
      <c r="AW40" s="3">
        <v>7438.4507568692943</v>
      </c>
      <c r="AX40" s="3">
        <v>2445.1424231268461</v>
      </c>
      <c r="AY40" s="3">
        <v>933.84625050047953</v>
      </c>
      <c r="AZ40" s="3">
        <v>1309.7980232253753</v>
      </c>
      <c r="BA40" s="3">
        <v>1147.3167494581767</v>
      </c>
      <c r="BB40" s="3">
        <v>2023.1560240983595</v>
      </c>
      <c r="BC40" s="3">
        <v>1015.3566690244497</v>
      </c>
      <c r="BD40" s="3">
        <v>1546.1112914690486</v>
      </c>
      <c r="BE40" s="3">
        <v>2015.3291460939836</v>
      </c>
      <c r="BF40" s="3">
        <v>2080.8036177293848</v>
      </c>
      <c r="BG40" s="3">
        <v>473.06390261366414</v>
      </c>
      <c r="BH40" s="3">
        <v>14264.552123718437</v>
      </c>
      <c r="BI40" s="3">
        <v>1966.3550070193605</v>
      </c>
      <c r="BJ40" s="3">
        <v>1545.2300729696833</v>
      </c>
      <c r="BK40" s="3">
        <v>381.85160008019727</v>
      </c>
      <c r="BL40" s="3">
        <v>4310.6802853497829</v>
      </c>
      <c r="BM40" s="3">
        <v>8869.297225870343</v>
      </c>
      <c r="BN40" s="3">
        <v>2057.0663257743527</v>
      </c>
      <c r="BO40" s="3">
        <v>284.45686131773823</v>
      </c>
      <c r="BP40" s="3"/>
    </row>
    <row r="41" spans="1:68">
      <c r="A41" s="20" t="s">
        <v>9</v>
      </c>
      <c r="B41" s="21" t="s">
        <v>6</v>
      </c>
      <c r="C41" s="22">
        <v>6500</v>
      </c>
      <c r="D41" s="22">
        <v>4650</v>
      </c>
      <c r="E41" s="22">
        <v>18000</v>
      </c>
      <c r="F41" s="22">
        <v>38900</v>
      </c>
      <c r="G41" s="22">
        <v>40000</v>
      </c>
      <c r="H41" s="22">
        <v>20000</v>
      </c>
      <c r="I41" s="22">
        <v>19250</v>
      </c>
      <c r="J41" s="22">
        <v>42000</v>
      </c>
      <c r="K41" s="22">
        <v>16500</v>
      </c>
      <c r="L41" s="22">
        <v>9750</v>
      </c>
      <c r="M41" s="22">
        <v>16500</v>
      </c>
      <c r="N41" s="22">
        <v>2275</v>
      </c>
      <c r="O41" s="22">
        <v>4342.340354006591</v>
      </c>
      <c r="P41" s="22">
        <v>998.24004811495888</v>
      </c>
      <c r="Q41" s="22">
        <v>1350</v>
      </c>
      <c r="R41" s="22">
        <v>128.80516749870438</v>
      </c>
      <c r="S41" s="22">
        <v>11119.354938506198</v>
      </c>
      <c r="T41" s="22">
        <v>1111.9354938506197</v>
      </c>
      <c r="U41" s="22">
        <v>39804.786578393752</v>
      </c>
      <c r="V41" s="22">
        <v>34237.683560436584</v>
      </c>
      <c r="W41" s="22">
        <v>9185.719979629328</v>
      </c>
      <c r="X41" s="22">
        <v>7775</v>
      </c>
      <c r="Y41" s="22">
        <v>20600</v>
      </c>
      <c r="Z41" s="22">
        <v>1180</v>
      </c>
      <c r="AA41" s="22">
        <v>8895.4839508049572</v>
      </c>
      <c r="AB41" s="22">
        <v>7633.9820995962364</v>
      </c>
      <c r="AC41" s="22">
        <v>17037.62412704411</v>
      </c>
      <c r="AD41" s="22">
        <v>444.77419754024788</v>
      </c>
      <c r="AE41" s="22">
        <v>16675.289140755078</v>
      </c>
      <c r="AF41" s="22">
        <v>1037.8064609272451</v>
      </c>
      <c r="AG41" s="22">
        <v>16303.661182801938</v>
      </c>
      <c r="AH41" s="22">
        <v>15.456620099844525</v>
      </c>
      <c r="AI41" s="22">
        <v>5890.0441454299944</v>
      </c>
      <c r="AJ41" s="22">
        <v>3435.8590848341637</v>
      </c>
      <c r="AK41" s="22">
        <v>2945.0220727149972</v>
      </c>
      <c r="AL41" s="22">
        <v>7183.9616645916249</v>
      </c>
      <c r="AM41" s="22">
        <v>2699.6035666554144</v>
      </c>
      <c r="AN41" s="22">
        <v>13948.347253135405</v>
      </c>
      <c r="AO41" s="22">
        <v>148.2580658467493</v>
      </c>
      <c r="AP41" s="22">
        <v>1114.9006551675548</v>
      </c>
      <c r="AQ41" s="22">
        <v>148.2580658467493</v>
      </c>
      <c r="AR41" s="22">
        <v>237.21290535479886</v>
      </c>
      <c r="AS41" s="22">
        <v>9898.1395860554185</v>
      </c>
      <c r="AT41" s="22">
        <v>2223.8709877012393</v>
      </c>
      <c r="AU41" s="22">
        <v>14148.267223755285</v>
      </c>
      <c r="AV41" s="22">
        <v>131.94967860360688</v>
      </c>
      <c r="AW41" s="22">
        <v>3716.8297107780049</v>
      </c>
      <c r="AX41" s="22">
        <v>515.93806914668755</v>
      </c>
      <c r="AY41" s="22">
        <v>3706.4516461687326</v>
      </c>
      <c r="AZ41" s="22">
        <v>7578.9523260858241</v>
      </c>
      <c r="BA41" s="22">
        <v>34957.00013085315</v>
      </c>
      <c r="BB41" s="22">
        <v>15563.529220056203</v>
      </c>
      <c r="BC41" s="22">
        <v>13015.171823533119</v>
      </c>
      <c r="BD41" s="22">
        <v>20059.222821303643</v>
      </c>
      <c r="BE41" s="22">
        <v>16018.598842496174</v>
      </c>
      <c r="BF41" s="22">
        <v>21004.578498520372</v>
      </c>
      <c r="BG41" s="22">
        <v>9091.1227724275268</v>
      </c>
      <c r="BH41" s="22">
        <v>19002.973661366235</v>
      </c>
      <c r="BI41" s="22">
        <v>30953.110751883087</v>
      </c>
      <c r="BJ41" s="22">
        <v>31243.83287227467</v>
      </c>
      <c r="BK41" s="22">
        <v>13933.007012591104</v>
      </c>
      <c r="BL41" s="22">
        <v>15856.78430556391</v>
      </c>
      <c r="BM41" s="22">
        <v>42045.108466562291</v>
      </c>
      <c r="BN41" s="22">
        <v>14049.071792532819</v>
      </c>
      <c r="BO41" s="22">
        <v>11095.221261476767</v>
      </c>
      <c r="BP41" s="22"/>
    </row>
    <row r="42" spans="1:68">
      <c r="A42" s="20" t="s">
        <v>10</v>
      </c>
      <c r="B42" s="21" t="s">
        <v>6</v>
      </c>
      <c r="C42" s="3">
        <v>16813.763635483941</v>
      </c>
      <c r="D42" s="3">
        <v>6755.7801029783204</v>
      </c>
      <c r="E42" s="3">
        <v>7242.1271152053314</v>
      </c>
      <c r="F42" s="3">
        <v>16436.843414383842</v>
      </c>
      <c r="G42" s="3">
        <v>7253.2378413245006</v>
      </c>
      <c r="H42" s="3">
        <v>3022.1472775636566</v>
      </c>
      <c r="I42" s="3">
        <v>3232.5907863952339</v>
      </c>
      <c r="J42" s="3">
        <v>10250.77035714363</v>
      </c>
      <c r="K42" s="3">
        <v>6080.5539731717636</v>
      </c>
      <c r="L42" s="3">
        <v>40533.48517344454</v>
      </c>
      <c r="M42" s="3">
        <v>81378.421844266835</v>
      </c>
      <c r="N42" s="3">
        <v>1236.3034360771146</v>
      </c>
      <c r="O42" s="3">
        <v>17936.525519644423</v>
      </c>
      <c r="P42" s="3">
        <v>41914.455105491557</v>
      </c>
      <c r="Q42" s="3">
        <v>17686.16306014061</v>
      </c>
      <c r="R42" s="3">
        <v>2961.5705871075415</v>
      </c>
      <c r="S42" s="3">
        <v>40709.702502098648</v>
      </c>
      <c r="T42" s="3">
        <v>893.67819704523663</v>
      </c>
      <c r="U42" s="3">
        <v>24560.870174792344</v>
      </c>
      <c r="V42" s="3">
        <v>49985.785014007364</v>
      </c>
      <c r="W42" s="3">
        <v>5605.0657268695868</v>
      </c>
      <c r="X42" s="3">
        <v>2556.5065412305507</v>
      </c>
      <c r="Y42" s="3">
        <v>7503.597098371275</v>
      </c>
      <c r="Z42" s="3">
        <v>1173.7106267144272</v>
      </c>
      <c r="AA42" s="3">
        <v>2474.3044195346147</v>
      </c>
      <c r="AB42" s="3">
        <v>3108.1585764225624</v>
      </c>
      <c r="AC42" s="3">
        <v>2249.0574452007631</v>
      </c>
      <c r="AD42" s="3">
        <v>5669.6551149564129</v>
      </c>
      <c r="AE42" s="3">
        <v>3272.7627140868562</v>
      </c>
      <c r="AF42" s="3">
        <v>3166.2217422690287</v>
      </c>
      <c r="AG42" s="3">
        <v>2910.4310321866974</v>
      </c>
      <c r="AH42" s="3">
        <v>7570.4934759761536</v>
      </c>
      <c r="AI42" s="3">
        <v>4401.6862867891268</v>
      </c>
      <c r="AJ42" s="3">
        <v>2125.6225300215715</v>
      </c>
      <c r="AK42" s="3">
        <v>13414.790751234927</v>
      </c>
      <c r="AL42" s="3">
        <v>6569.1803996886938</v>
      </c>
      <c r="AM42" s="3">
        <v>1717.451886578601</v>
      </c>
      <c r="AN42" s="3">
        <v>3604.8053639287532</v>
      </c>
      <c r="AO42" s="3">
        <v>13076.091517414554</v>
      </c>
      <c r="AP42" s="3">
        <v>15523.138338862118</v>
      </c>
      <c r="AQ42" s="3">
        <v>10953.631748953239</v>
      </c>
      <c r="AR42" s="3">
        <v>15954.442430458206</v>
      </c>
      <c r="AS42" s="3">
        <v>10048.61495630561</v>
      </c>
      <c r="AT42" s="3">
        <v>2704.6731865955207</v>
      </c>
      <c r="AU42" s="3">
        <v>10632.339508501645</v>
      </c>
      <c r="AV42" s="3">
        <v>1447.1752598102064</v>
      </c>
      <c r="AW42" s="3">
        <v>2451.6106797318921</v>
      </c>
      <c r="AX42" s="3">
        <v>58.689953794036313</v>
      </c>
      <c r="AY42" s="3">
        <v>8271.0427600850398</v>
      </c>
      <c r="AZ42" s="3">
        <v>173.77319835190332</v>
      </c>
      <c r="BA42" s="3">
        <v>4695.3258744152472</v>
      </c>
      <c r="BB42" s="3">
        <v>4778.8371083000202</v>
      </c>
      <c r="BC42" s="3">
        <v>6132.822758598244</v>
      </c>
      <c r="BD42" s="3">
        <v>2010.1537795597631</v>
      </c>
      <c r="BE42" s="3">
        <v>6025.4623804627226</v>
      </c>
      <c r="BF42" s="3">
        <v>388.83347436662689</v>
      </c>
      <c r="BG42" s="3">
        <v>38.077840103158742</v>
      </c>
      <c r="BH42" s="3">
        <v>2481.8025820508906</v>
      </c>
      <c r="BI42" s="3">
        <v>3333.2230053569892</v>
      </c>
      <c r="BJ42" s="3">
        <v>148.84571124636955</v>
      </c>
      <c r="BK42" s="3">
        <v>10.245713512423393</v>
      </c>
      <c r="BL42" s="3">
        <v>4346.9680677278666</v>
      </c>
      <c r="BM42" s="3">
        <v>1480.1616989577508</v>
      </c>
      <c r="BN42" s="3">
        <v>1211.6387428263906</v>
      </c>
      <c r="BO42" s="3">
        <v>211.7426929211168</v>
      </c>
      <c r="BP42" s="3"/>
    </row>
    <row r="43" spans="1:68">
      <c r="A43" s="20" t="s">
        <v>10</v>
      </c>
      <c r="B43" s="21" t="s">
        <v>8</v>
      </c>
      <c r="C43" s="22">
        <v>16586.208939665361</v>
      </c>
      <c r="D43" s="22">
        <v>3908.5164580449273</v>
      </c>
      <c r="E43" s="22">
        <v>7748.5695708140947</v>
      </c>
      <c r="F43" s="22">
        <v>40233.85563615791</v>
      </c>
      <c r="G43" s="22">
        <v>31158.275233858767</v>
      </c>
      <c r="H43" s="22">
        <v>20939.163280262481</v>
      </c>
      <c r="I43" s="22">
        <v>5369.8408931028262</v>
      </c>
      <c r="J43" s="22">
        <v>14382.458409257642</v>
      </c>
      <c r="K43" s="22">
        <v>14614.206974146726</v>
      </c>
      <c r="L43" s="22">
        <v>23738.621887790287</v>
      </c>
      <c r="M43" s="22">
        <v>33129.32582372817</v>
      </c>
      <c r="N43" s="22">
        <v>4285.8519117339974</v>
      </c>
      <c r="O43" s="22">
        <v>14444.458604315416</v>
      </c>
      <c r="P43" s="22">
        <v>26375.717303045305</v>
      </c>
      <c r="Q43" s="22">
        <v>74764.234754230754</v>
      </c>
      <c r="R43" s="22">
        <v>21138.549695134563</v>
      </c>
      <c r="S43" s="22">
        <v>116915.60337114979</v>
      </c>
      <c r="T43" s="22">
        <v>19173.459500243262</v>
      </c>
      <c r="U43" s="22">
        <v>59164.407265499773</v>
      </c>
      <c r="V43" s="22">
        <v>82069.052460497973</v>
      </c>
      <c r="W43" s="22">
        <v>26893.536516422344</v>
      </c>
      <c r="X43" s="22">
        <v>18548.270862970588</v>
      </c>
      <c r="Y43" s="22">
        <v>9117.2738937199356</v>
      </c>
      <c r="Z43" s="22">
        <v>33717.505276523552</v>
      </c>
      <c r="AA43" s="22">
        <v>18315.231627207308</v>
      </c>
      <c r="AB43" s="22">
        <v>10155.10431434613</v>
      </c>
      <c r="AC43" s="22">
        <v>15100.814274919408</v>
      </c>
      <c r="AD43" s="22">
        <v>17255.052503050327</v>
      </c>
      <c r="AE43" s="22">
        <v>47410.139081713125</v>
      </c>
      <c r="AF43" s="22">
        <v>13954.829160370906</v>
      </c>
      <c r="AG43" s="22">
        <v>19960.706162413768</v>
      </c>
      <c r="AH43" s="22">
        <v>43278.364345796814</v>
      </c>
      <c r="AI43" s="22">
        <v>36181.861277406621</v>
      </c>
      <c r="AJ43" s="22">
        <v>17272.693780440157</v>
      </c>
      <c r="AK43" s="22">
        <v>78883.279590193502</v>
      </c>
      <c r="AL43" s="22">
        <v>6076.7815161141443</v>
      </c>
      <c r="AM43" s="22">
        <v>105247.16906142326</v>
      </c>
      <c r="AN43" s="22">
        <v>12141.217033800036</v>
      </c>
      <c r="AO43" s="22">
        <v>25899.348345102204</v>
      </c>
      <c r="AP43" s="22">
        <v>8249.6118066995659</v>
      </c>
      <c r="AQ43" s="22">
        <v>6828.8069932045637</v>
      </c>
      <c r="AR43" s="22">
        <v>12667.827289783814</v>
      </c>
      <c r="AS43" s="22">
        <v>5526.9667074359422</v>
      </c>
      <c r="AT43" s="22">
        <v>5567.9385736777785</v>
      </c>
      <c r="AU43" s="22">
        <v>35727.023490678526</v>
      </c>
      <c r="AV43" s="22">
        <v>6363.7959033567067</v>
      </c>
      <c r="AW43" s="22">
        <v>2398.4015494067294</v>
      </c>
      <c r="AX43" s="22">
        <v>49562.198730218821</v>
      </c>
      <c r="AY43" s="22">
        <v>40151.837247660464</v>
      </c>
      <c r="AZ43" s="22">
        <v>14589.109269153027</v>
      </c>
      <c r="BA43" s="22">
        <v>13237.784998290615</v>
      </c>
      <c r="BB43" s="22">
        <v>13473.232715590169</v>
      </c>
      <c r="BC43" s="22">
        <v>5499.1837545541985</v>
      </c>
      <c r="BD43" s="22">
        <v>25367.574457542927</v>
      </c>
      <c r="BE43" s="22">
        <v>16987.910454199864</v>
      </c>
      <c r="BF43" s="22">
        <v>39730.351823132652</v>
      </c>
      <c r="BG43" s="22">
        <v>3720.2049780786087</v>
      </c>
      <c r="BH43" s="22">
        <v>68613.815663964167</v>
      </c>
      <c r="BI43" s="22">
        <v>31112.081517148501</v>
      </c>
      <c r="BJ43" s="22">
        <v>18291.931055060606</v>
      </c>
      <c r="BK43" s="22">
        <v>10465.996352940496</v>
      </c>
      <c r="BL43" s="22">
        <v>12454.671868350073</v>
      </c>
      <c r="BM43" s="22">
        <v>17992.071535034142</v>
      </c>
      <c r="BN43" s="22">
        <v>8252.0832824535246</v>
      </c>
      <c r="BO43" s="22">
        <v>9357.8506788193572</v>
      </c>
      <c r="BP43" s="22"/>
    </row>
    <row r="44" spans="1:68">
      <c r="A44" s="20" t="s">
        <v>11</v>
      </c>
      <c r="B44" s="21" t="s">
        <v>8</v>
      </c>
      <c r="C44" s="3">
        <v>18000</v>
      </c>
      <c r="D44" s="3">
        <v>7950</v>
      </c>
      <c r="E44" s="3">
        <v>4850</v>
      </c>
      <c r="F44" s="3">
        <v>89500</v>
      </c>
      <c r="G44" s="3">
        <v>20750</v>
      </c>
      <c r="H44" s="3">
        <v>16150</v>
      </c>
      <c r="I44" s="3">
        <v>5600</v>
      </c>
      <c r="J44" s="3">
        <v>8150</v>
      </c>
      <c r="K44" s="3">
        <v>8500</v>
      </c>
      <c r="L44" s="3">
        <v>8150</v>
      </c>
      <c r="M44" s="3">
        <v>23446.18424778487</v>
      </c>
      <c r="N44" s="3">
        <v>2662.0121853380201</v>
      </c>
      <c r="O44" s="3">
        <v>12150</v>
      </c>
      <c r="P44" s="3">
        <v>11275</v>
      </c>
      <c r="Q44" s="3">
        <v>19146.010717623452</v>
      </c>
      <c r="R44" s="3">
        <v>7998.9414977357683</v>
      </c>
      <c r="S44" s="3">
        <v>11225</v>
      </c>
      <c r="T44" s="3">
        <v>5194.1178556725763</v>
      </c>
      <c r="U44" s="3">
        <v>155823.53567017731</v>
      </c>
      <c r="V44" s="3">
        <v>44150.0017732169</v>
      </c>
      <c r="W44" s="3">
        <v>43718.430889974406</v>
      </c>
      <c r="X44" s="3">
        <v>7271.7649979416074</v>
      </c>
      <c r="Y44" s="3">
        <v>15582.35356701773</v>
      </c>
      <c r="Z44" s="3">
        <v>88300.0035464338</v>
      </c>
      <c r="AA44" s="3">
        <v>176600.0070928676</v>
      </c>
      <c r="AB44" s="3">
        <v>36358.824989708039</v>
      </c>
      <c r="AC44" s="3">
        <v>148483.9681456332</v>
      </c>
      <c r="AD44" s="3">
        <v>131151.47585573257</v>
      </c>
      <c r="AE44" s="3">
        <v>207764.71422690307</v>
      </c>
      <c r="AF44" s="3">
        <v>85517.141453983888</v>
      </c>
      <c r="AG44" s="3">
        <v>109076.47496912412</v>
      </c>
      <c r="AH44" s="3">
        <v>79470.003191790427</v>
      </c>
      <c r="AI44" s="3">
        <v>274392.02525791898</v>
      </c>
      <c r="AJ44" s="3">
        <v>82586.473905193969</v>
      </c>
      <c r="AK44" s="3">
        <v>112712.35746809491</v>
      </c>
      <c r="AL44" s="3">
        <v>22854.118564959339</v>
      </c>
      <c r="AM44" s="3">
        <v>12465.882853614185</v>
      </c>
      <c r="AN44" s="3">
        <v>44934.155609948604</v>
      </c>
      <c r="AO44" s="3">
        <v>197376.47851555792</v>
      </c>
      <c r="AP44" s="3">
        <v>200492.94922896146</v>
      </c>
      <c r="AQ44" s="3">
        <v>106479.41604128783</v>
      </c>
      <c r="AR44" s="3">
        <v>59212.943554667378</v>
      </c>
      <c r="AS44" s="3">
        <v>24572.420172350954</v>
      </c>
      <c r="AT44" s="3">
        <v>27797.550319972015</v>
      </c>
      <c r="AU44" s="3">
        <v>20686.22170121286</v>
      </c>
      <c r="AV44" s="3">
        <v>10392.086031223424</v>
      </c>
      <c r="AW44" s="3">
        <v>10343.11085060643</v>
      </c>
      <c r="AX44" s="3">
        <v>51715.554253032147</v>
      </c>
      <c r="AY44" s="3">
        <v>58772.141630858387</v>
      </c>
      <c r="AZ44" s="3">
        <v>34500.73913105407</v>
      </c>
      <c r="BA44" s="3">
        <v>1247.5836145821024</v>
      </c>
      <c r="BB44" s="3">
        <v>56921.239715601951</v>
      </c>
      <c r="BC44" s="3">
        <v>47601.010338476524</v>
      </c>
      <c r="BD44" s="3">
        <v>507.49163983000773</v>
      </c>
      <c r="BE44" s="3">
        <v>58585.587608675814</v>
      </c>
      <c r="BF44" s="3">
        <v>76821.049450578212</v>
      </c>
      <c r="BG44" s="3">
        <v>33249.398082952699</v>
      </c>
      <c r="BH44" s="3">
        <v>69500.484356336208</v>
      </c>
      <c r="BI44" s="3">
        <v>113206.29223229298</v>
      </c>
      <c r="BJ44" s="3">
        <v>114269.56414648787</v>
      </c>
      <c r="BK44" s="3">
        <v>50957.852869311944</v>
      </c>
      <c r="BL44" s="3">
        <v>57993.775564250755</v>
      </c>
      <c r="BM44" s="3">
        <v>153773.58592995495</v>
      </c>
      <c r="BN44" s="3">
        <v>51382.342139591798</v>
      </c>
      <c r="BO44" s="3">
        <v>40579.083329525296</v>
      </c>
      <c r="BP44" s="3"/>
    </row>
    <row r="45" spans="1:68">
      <c r="A45" s="20" t="s">
        <v>12</v>
      </c>
      <c r="B45" s="21" t="s">
        <v>8</v>
      </c>
      <c r="C45" s="22">
        <v>16145.14499138829</v>
      </c>
      <c r="D45" s="22">
        <v>3051.9064738164852</v>
      </c>
      <c r="E45" s="22">
        <v>2581.4278549796732</v>
      </c>
      <c r="F45" s="22">
        <v>7662.6717446328603</v>
      </c>
      <c r="G45" s="22">
        <v>24033.990504852365</v>
      </c>
      <c r="H45" s="22">
        <v>7218.4627469434035</v>
      </c>
      <c r="I45" s="22">
        <v>2306.4569704571081</v>
      </c>
      <c r="J45" s="22">
        <v>4068.1920493631928</v>
      </c>
      <c r="K45" s="22">
        <v>3604.5243236755477</v>
      </c>
      <c r="L45" s="22">
        <v>5316.4475562403013</v>
      </c>
      <c r="M45" s="22">
        <v>6670.9911697218131</v>
      </c>
      <c r="N45" s="22">
        <v>2754.8312532880773</v>
      </c>
      <c r="O45" s="22">
        <v>5901.2255189057596</v>
      </c>
      <c r="P45" s="22">
        <v>7786.8673743664649</v>
      </c>
      <c r="Q45" s="22">
        <v>16274.670100415005</v>
      </c>
      <c r="R45" s="22">
        <v>7039.3547904563929</v>
      </c>
      <c r="S45" s="22">
        <v>6801.4285800000298</v>
      </c>
      <c r="T45" s="22">
        <v>5339.7989563355368</v>
      </c>
      <c r="U45" s="22">
        <v>19542.185605266634</v>
      </c>
      <c r="V45" s="22">
        <v>15598.169529599121</v>
      </c>
      <c r="W45" s="22">
        <v>7257.2499540882309</v>
      </c>
      <c r="X45" s="22">
        <v>10574.541932286664</v>
      </c>
      <c r="Y45" s="22">
        <v>6779.6384367754436</v>
      </c>
      <c r="Z45" s="22">
        <v>7570.3939068802256</v>
      </c>
      <c r="AA45" s="22">
        <v>7008.1501537481081</v>
      </c>
      <c r="AB45" s="22">
        <v>4380.2171067292556</v>
      </c>
      <c r="AC45" s="22">
        <v>7783.5370389356431</v>
      </c>
      <c r="AD45" s="22">
        <v>15090.787441550736</v>
      </c>
      <c r="AE45" s="22">
        <v>5537.3333818497558</v>
      </c>
      <c r="AF45" s="22">
        <v>9961.6636356444724</v>
      </c>
      <c r="AG45" s="22">
        <v>13616.465543595781</v>
      </c>
      <c r="AH45" s="22">
        <v>9669.71538291459</v>
      </c>
      <c r="AI45" s="22">
        <v>6625.6738035688304</v>
      </c>
      <c r="AJ45" s="22">
        <v>2789.589551180914</v>
      </c>
      <c r="AK45" s="22">
        <v>2044.2952071545494</v>
      </c>
      <c r="AL45" s="22">
        <v>1926.7307165746788</v>
      </c>
      <c r="AM45" s="22">
        <v>447.60170977472671</v>
      </c>
      <c r="AN45" s="22">
        <v>1587.1830670980921</v>
      </c>
      <c r="AO45" s="22">
        <v>14240.540363999362</v>
      </c>
      <c r="AP45" s="22">
        <v>14383.317766452536</v>
      </c>
      <c r="AQ45" s="22">
        <v>4604.2032512961996</v>
      </c>
      <c r="AR45" s="22">
        <v>1752.8300946958548</v>
      </c>
      <c r="AS45" s="22">
        <v>1969.5583605119707</v>
      </c>
      <c r="AT45" s="22">
        <v>2372.7483937969564</v>
      </c>
      <c r="AU45" s="22">
        <v>4489.1712046304456</v>
      </c>
      <c r="AV45" s="22">
        <v>2669.0581101503976</v>
      </c>
      <c r="AW45" s="22">
        <v>920.74004482366763</v>
      </c>
      <c r="AX45" s="22">
        <v>2789.9670088117718</v>
      </c>
      <c r="AY45" s="22">
        <v>4000.6618399324129</v>
      </c>
      <c r="AZ45" s="22">
        <v>10062.583178065086</v>
      </c>
      <c r="BA45" s="22">
        <v>12439.686700933535</v>
      </c>
      <c r="BB45" s="22">
        <v>7884.0058250835591</v>
      </c>
      <c r="BC45" s="22">
        <v>7058.9412141592102</v>
      </c>
      <c r="BD45" s="22">
        <v>1814.641913310071</v>
      </c>
      <c r="BE45" s="22">
        <v>1833.1326594128207</v>
      </c>
      <c r="BF45" s="22">
        <v>3009.177126273431</v>
      </c>
      <c r="BG45" s="22">
        <v>872.34664355004395</v>
      </c>
      <c r="BH45" s="22">
        <v>8175.7610872841897</v>
      </c>
      <c r="BI45" s="22">
        <v>8335.6190748303416</v>
      </c>
      <c r="BJ45" s="22">
        <v>4275.2910991605131</v>
      </c>
      <c r="BK45" s="22">
        <v>8525.0760419245853</v>
      </c>
      <c r="BL45" s="22">
        <v>8525.2556356646437</v>
      </c>
      <c r="BM45" s="22">
        <v>12167.114785521915</v>
      </c>
      <c r="BN45" s="22">
        <v>4029.7420669600215</v>
      </c>
      <c r="BO45" s="22">
        <v>3534.9119564442617</v>
      </c>
      <c r="BP45" s="22"/>
    </row>
    <row r="46" spans="1:68">
      <c r="A46" s="20" t="s">
        <v>12</v>
      </c>
      <c r="B46" s="21" t="s">
        <v>13</v>
      </c>
      <c r="C46" s="22">
        <v>173547.41317420415</v>
      </c>
      <c r="D46" s="22">
        <v>127692.7927153973</v>
      </c>
      <c r="E46" s="22">
        <v>84011.419399189966</v>
      </c>
      <c r="F46" s="22">
        <v>150367.16186884546</v>
      </c>
      <c r="G46" s="22">
        <v>167956.98359182695</v>
      </c>
      <c r="H46" s="22">
        <v>180205.59481731051</v>
      </c>
      <c r="I46" s="22">
        <v>168422.61344271238</v>
      </c>
      <c r="J46" s="22">
        <v>79602.492932684225</v>
      </c>
      <c r="K46" s="22">
        <v>117852.09570276715</v>
      </c>
      <c r="L46" s="22">
        <v>156988.56197321127</v>
      </c>
      <c r="M46" s="22">
        <v>124192.89691064478</v>
      </c>
      <c r="N46" s="22">
        <v>40455.207108471215</v>
      </c>
      <c r="O46" s="22">
        <v>148986.7845292571</v>
      </c>
      <c r="P46" s="22">
        <v>120198.5954049748</v>
      </c>
      <c r="Q46" s="22">
        <v>342839.44537551363</v>
      </c>
      <c r="R46" s="22">
        <v>234288.09096062472</v>
      </c>
      <c r="S46" s="22">
        <v>297199.50278224843</v>
      </c>
      <c r="T46" s="22">
        <v>167628.808385251</v>
      </c>
      <c r="U46" s="22">
        <v>249175.62246297544</v>
      </c>
      <c r="V46" s="22">
        <v>324293.85848526616</v>
      </c>
      <c r="W46" s="22">
        <v>236437.61334520672</v>
      </c>
      <c r="X46" s="22">
        <v>182157.31413380941</v>
      </c>
      <c r="Y46" s="22">
        <v>165380.35908824648</v>
      </c>
      <c r="Z46" s="22">
        <v>199989.79038503871</v>
      </c>
      <c r="AA46" s="22">
        <v>311152.52262621099</v>
      </c>
      <c r="AB46" s="22">
        <v>206403.49286023853</v>
      </c>
      <c r="AC46" s="22">
        <v>256934.04218923653</v>
      </c>
      <c r="AD46" s="22">
        <v>244230.13875051512</v>
      </c>
      <c r="AE46" s="22">
        <v>271783.81688257493</v>
      </c>
      <c r="AF46" s="22">
        <v>311178.62989334785</v>
      </c>
      <c r="AG46" s="22">
        <v>297608.14503891172</v>
      </c>
      <c r="AH46" s="22">
        <v>527596.3588826562</v>
      </c>
      <c r="AI46" s="22">
        <v>515331.33268081961</v>
      </c>
      <c r="AJ46" s="22">
        <v>267780.04745074396</v>
      </c>
      <c r="AK46" s="22">
        <v>264033.53474332602</v>
      </c>
      <c r="AL46" s="22">
        <v>166944.43676952552</v>
      </c>
      <c r="AM46" s="22">
        <v>285417.8949395137</v>
      </c>
      <c r="AN46" s="22">
        <v>293036.33325203875</v>
      </c>
      <c r="AO46" s="22">
        <v>377967.2443392378</v>
      </c>
      <c r="AP46" s="22">
        <v>484054.24461621966</v>
      </c>
      <c r="AQ46" s="22">
        <v>478154.2230239354</v>
      </c>
      <c r="AR46" s="22">
        <v>221873.85939734938</v>
      </c>
      <c r="AS46" s="22">
        <v>161793.39563523748</v>
      </c>
      <c r="AT46" s="22">
        <v>339619.17944800539</v>
      </c>
      <c r="AU46" s="22">
        <v>782384.17817529698</v>
      </c>
      <c r="AV46" s="22">
        <v>346704.62963721517</v>
      </c>
      <c r="AW46" s="22">
        <v>96659.795575178461</v>
      </c>
      <c r="AX46" s="22">
        <v>427542.97559224797</v>
      </c>
      <c r="AY46" s="22">
        <v>487869.85526024917</v>
      </c>
      <c r="AZ46" s="22">
        <v>338644.82299812976</v>
      </c>
      <c r="BA46" s="22">
        <v>418643.54574208485</v>
      </c>
      <c r="BB46" s="22">
        <v>265327.27331601852</v>
      </c>
      <c r="BC46" s="22">
        <v>355957.15348807187</v>
      </c>
      <c r="BD46" s="22">
        <v>192661.56731740211</v>
      </c>
      <c r="BE46" s="22">
        <v>164168.05887181286</v>
      </c>
      <c r="BF46" s="22">
        <v>187929.63366856071</v>
      </c>
      <c r="BG46" s="22">
        <v>90209.445405971943</v>
      </c>
      <c r="BH46" s="22">
        <v>419321.60295549745</v>
      </c>
      <c r="BI46" s="22">
        <v>283883.49079798424</v>
      </c>
      <c r="BJ46" s="22">
        <v>270696.15406710934</v>
      </c>
      <c r="BK46" s="22">
        <v>107109.92975751401</v>
      </c>
      <c r="BL46" s="22">
        <v>179857.71383258741</v>
      </c>
      <c r="BM46" s="22">
        <v>386138.08759793121</v>
      </c>
      <c r="BN46" s="22">
        <v>91327.325709227822</v>
      </c>
      <c r="BO46" s="22">
        <v>81249.972952359458</v>
      </c>
      <c r="BP46" s="22"/>
    </row>
    <row r="47" spans="1:68">
      <c r="A47" s="20" t="s">
        <v>12</v>
      </c>
      <c r="B47" s="21" t="s">
        <v>14</v>
      </c>
      <c r="C47" s="22">
        <v>67830.241736982745</v>
      </c>
      <c r="D47" s="22">
        <v>22671.305234065319</v>
      </c>
      <c r="E47" s="22">
        <v>45059.973349793705</v>
      </c>
      <c r="F47" s="22">
        <v>71850.318725507459</v>
      </c>
      <c r="G47" s="22">
        <v>45539.431530448215</v>
      </c>
      <c r="H47" s="22">
        <v>29974.53856975435</v>
      </c>
      <c r="I47" s="22">
        <v>20988.758431159684</v>
      </c>
      <c r="J47" s="22">
        <v>17603.246100389162</v>
      </c>
      <c r="K47" s="22">
        <v>17894.801606899884</v>
      </c>
      <c r="L47" s="22">
        <v>16000.462356761678</v>
      </c>
      <c r="M47" s="22">
        <v>25073.725431023369</v>
      </c>
      <c r="N47" s="22">
        <v>17268.710726629892</v>
      </c>
      <c r="O47" s="22">
        <v>21714.466195107776</v>
      </c>
      <c r="P47" s="22">
        <v>18085.956878692472</v>
      </c>
      <c r="Q47" s="22">
        <v>75965.46639347318</v>
      </c>
      <c r="R47" s="22">
        <v>25882.38130925778</v>
      </c>
      <c r="S47" s="22">
        <v>14010.433404494444</v>
      </c>
      <c r="T47" s="22">
        <v>27383.715413399186</v>
      </c>
      <c r="U47" s="22">
        <v>45258.273190265019</v>
      </c>
      <c r="V47" s="22">
        <v>14959.946553756277</v>
      </c>
      <c r="W47" s="22">
        <v>25965.055560118079</v>
      </c>
      <c r="X47" s="22">
        <v>23076.453386882156</v>
      </c>
      <c r="Y47" s="22">
        <v>17199.891739374212</v>
      </c>
      <c r="Z47" s="22">
        <v>37751.373113672409</v>
      </c>
      <c r="AA47" s="22">
        <v>27322.441399412623</v>
      </c>
      <c r="AB47" s="22">
        <v>23833.351519735359</v>
      </c>
      <c r="AC47" s="22">
        <v>26927.945358542915</v>
      </c>
      <c r="AD47" s="22">
        <v>33202.596869061701</v>
      </c>
      <c r="AE47" s="22">
        <v>24303.533521736597</v>
      </c>
      <c r="AF47" s="22">
        <v>43826.824937867692</v>
      </c>
      <c r="AG47" s="22">
        <v>64879.893308055238</v>
      </c>
      <c r="AH47" s="22">
        <v>66863.954618082003</v>
      </c>
      <c r="AI47" s="22">
        <v>33546.800000293137</v>
      </c>
      <c r="AJ47" s="22">
        <v>23291.788410946647</v>
      </c>
      <c r="AK47" s="22">
        <v>19926.520032194421</v>
      </c>
      <c r="AL47" s="22">
        <v>6966.9237258357734</v>
      </c>
      <c r="AM47" s="22">
        <v>22166.242985705787</v>
      </c>
      <c r="AN47" s="22">
        <v>24623.677248069398</v>
      </c>
      <c r="AO47" s="22">
        <v>20435.723851811032</v>
      </c>
      <c r="AP47" s="22">
        <v>70076.302784754065</v>
      </c>
      <c r="AQ47" s="22">
        <v>57805.896934242555</v>
      </c>
      <c r="AR47" s="22">
        <v>26378.00622267893</v>
      </c>
      <c r="AS47" s="22">
        <v>11358.800880416667</v>
      </c>
      <c r="AT47" s="22">
        <v>14523.625052638341</v>
      </c>
      <c r="AU47" s="22">
        <v>73529.563766715204</v>
      </c>
      <c r="AV47" s="22">
        <v>39508.70154340822</v>
      </c>
      <c r="AW47" s="22">
        <v>11754.711007028014</v>
      </c>
      <c r="AX47" s="22">
        <v>70705.468340917912</v>
      </c>
      <c r="AY47" s="22">
        <v>61412.392798650886</v>
      </c>
      <c r="AZ47" s="22">
        <v>49025.449971462163</v>
      </c>
      <c r="BA47" s="22">
        <v>60606.827017011477</v>
      </c>
      <c r="BB47" s="22">
        <v>38411.303172618631</v>
      </c>
      <c r="BC47" s="22">
        <v>32108.386040649137</v>
      </c>
      <c r="BD47" s="22">
        <v>20282.574178198451</v>
      </c>
      <c r="BE47" s="22">
        <v>17236.010814230089</v>
      </c>
      <c r="BF47" s="22">
        <v>26271.825560958958</v>
      </c>
      <c r="BG47" s="22">
        <v>12965.576439516759</v>
      </c>
      <c r="BH47" s="22">
        <v>60962.858220180788</v>
      </c>
      <c r="BI47" s="22">
        <v>62929.308199846222</v>
      </c>
      <c r="BJ47" s="22">
        <v>51476.310054645059</v>
      </c>
      <c r="BK47" s="22">
        <v>13791.558386618677</v>
      </c>
      <c r="BL47" s="22">
        <v>12828.760206640731</v>
      </c>
      <c r="BM47" s="22">
        <v>52934.109075628941</v>
      </c>
      <c r="BN47" s="22">
        <v>15271.004623557163</v>
      </c>
      <c r="BO47" s="22">
        <v>14862.206328501883</v>
      </c>
      <c r="BP47" s="22"/>
    </row>
    <row r="48" spans="1:68">
      <c r="A48" s="20" t="s">
        <v>12</v>
      </c>
      <c r="B48" s="21" t="s">
        <v>15</v>
      </c>
      <c r="C48" s="22">
        <v>34972.550492527989</v>
      </c>
      <c r="D48" s="22">
        <v>19593.752487359623</v>
      </c>
      <c r="E48" s="22">
        <v>15232.980213543418</v>
      </c>
      <c r="F48" s="22">
        <v>59615.586173243653</v>
      </c>
      <c r="G48" s="22">
        <v>49447.18981657191</v>
      </c>
      <c r="H48" s="22">
        <v>90384.368650557299</v>
      </c>
      <c r="I48" s="22">
        <v>62453.729300044135</v>
      </c>
      <c r="J48" s="22">
        <v>53116.771663383573</v>
      </c>
      <c r="K48" s="22">
        <v>31878.31086257736</v>
      </c>
      <c r="L48" s="22">
        <v>14645.79062368122</v>
      </c>
      <c r="M48" s="22">
        <v>27195.151741701182</v>
      </c>
      <c r="N48" s="22">
        <v>9004.2169667656599</v>
      </c>
      <c r="O48" s="22">
        <v>16145.344276833075</v>
      </c>
      <c r="P48" s="22">
        <v>12933.859055259183</v>
      </c>
      <c r="Q48" s="22">
        <v>67037.355836819173</v>
      </c>
      <c r="R48" s="22">
        <v>70444.557721886071</v>
      </c>
      <c r="S48" s="22">
        <v>50208.298618651905</v>
      </c>
      <c r="T48" s="22">
        <v>35627.956213544407</v>
      </c>
      <c r="U48" s="22">
        <v>84261.006027512572</v>
      </c>
      <c r="V48" s="22">
        <v>78179.761648845073</v>
      </c>
      <c r="W48" s="22">
        <v>83548.128446711868</v>
      </c>
      <c r="X48" s="22">
        <v>33018.051652667615</v>
      </c>
      <c r="Y48" s="22">
        <v>29648.939100496762</v>
      </c>
      <c r="Z48" s="22">
        <v>77803.119480947353</v>
      </c>
      <c r="AA48" s="22">
        <v>36190.087393955233</v>
      </c>
      <c r="AB48" s="22">
        <v>26117.691694072171</v>
      </c>
      <c r="AC48" s="22">
        <v>63634.28128851689</v>
      </c>
      <c r="AD48" s="22">
        <v>59648.048388557771</v>
      </c>
      <c r="AE48" s="22">
        <v>35271.20359697564</v>
      </c>
      <c r="AF48" s="22">
        <v>39491.136242382607</v>
      </c>
      <c r="AG48" s="22">
        <v>76705.443302661864</v>
      </c>
      <c r="AH48" s="22">
        <v>107777.46630871379</v>
      </c>
      <c r="AI48" s="22">
        <v>62899.991709819726</v>
      </c>
      <c r="AJ48" s="22">
        <v>94872.759041562022</v>
      </c>
      <c r="AK48" s="22">
        <v>105590.9603304021</v>
      </c>
      <c r="AL48" s="22">
        <v>53339.852816465951</v>
      </c>
      <c r="AM48" s="22">
        <v>142944.27904784682</v>
      </c>
      <c r="AN48" s="22">
        <v>56535.418298209202</v>
      </c>
      <c r="AO48" s="22">
        <v>134520.4365150354</v>
      </c>
      <c r="AP48" s="22">
        <v>111576.97082219273</v>
      </c>
      <c r="AQ48" s="22">
        <v>109077.70379242687</v>
      </c>
      <c r="AR48" s="22">
        <v>35893.369593885</v>
      </c>
      <c r="AS48" s="22">
        <v>41755.266829969551</v>
      </c>
      <c r="AT48" s="22">
        <v>54687.237663410233</v>
      </c>
      <c r="AU48" s="22">
        <v>135967.14651993033</v>
      </c>
      <c r="AV48" s="22">
        <v>18364.821685587707</v>
      </c>
      <c r="AW48" s="22">
        <v>7077.2673010588096</v>
      </c>
      <c r="AX48" s="22">
        <v>81936.980486179149</v>
      </c>
      <c r="AY48" s="22">
        <v>93217.186937713675</v>
      </c>
      <c r="AZ48" s="22">
        <v>78059.357923214964</v>
      </c>
      <c r="BA48" s="22">
        <v>96499.47130449918</v>
      </c>
      <c r="BB48" s="22">
        <v>61159.288989574074</v>
      </c>
      <c r="BC48" s="22">
        <v>54078.779597883375</v>
      </c>
      <c r="BD48" s="22">
        <v>45095.758827045524</v>
      </c>
      <c r="BE48" s="22">
        <v>22753.881380026356</v>
      </c>
      <c r="BF48" s="22">
        <v>51648.544622473353</v>
      </c>
      <c r="BG48" s="22">
        <v>7120.9667798198943</v>
      </c>
      <c r="BH48" s="22">
        <v>52571.174577306745</v>
      </c>
      <c r="BI48" s="22">
        <v>96727.935640721829</v>
      </c>
      <c r="BJ48" s="22">
        <v>79394.489289456615</v>
      </c>
      <c r="BK48" s="22">
        <v>41319.463855857313</v>
      </c>
      <c r="BL48" s="22">
        <v>37068.129797521011</v>
      </c>
      <c r="BM48" s="22">
        <v>162692.08983347562</v>
      </c>
      <c r="BN48" s="22">
        <v>55079.341746067737</v>
      </c>
      <c r="BO48" s="22">
        <v>7629.0495804165785</v>
      </c>
      <c r="BP48" s="22"/>
    </row>
    <row r="49" spans="1:100">
      <c r="A49" s="20" t="s">
        <v>12</v>
      </c>
      <c r="B49" s="21" t="s">
        <v>16</v>
      </c>
      <c r="C49" s="22">
        <v>143629.89210389997</v>
      </c>
      <c r="D49" s="22">
        <v>38879.749700048669</v>
      </c>
      <c r="E49" s="22">
        <v>51578.462063991879</v>
      </c>
      <c r="F49" s="22">
        <v>118158.39830223871</v>
      </c>
      <c r="G49" s="22">
        <v>186474.13886921055</v>
      </c>
      <c r="H49" s="22">
        <v>26442.09935316502</v>
      </c>
      <c r="I49" s="22">
        <v>14171.896718475342</v>
      </c>
      <c r="J49" s="22">
        <v>16886.834921884954</v>
      </c>
      <c r="K49" s="22">
        <v>23467.754107334418</v>
      </c>
      <c r="L49" s="22">
        <v>17764.09159416832</v>
      </c>
      <c r="M49" s="22">
        <v>33022.684257780005</v>
      </c>
      <c r="N49" s="22">
        <v>30889.820812332055</v>
      </c>
      <c r="O49" s="22">
        <v>131742.94372725976</v>
      </c>
      <c r="P49" s="22">
        <v>41851.986719512977</v>
      </c>
      <c r="Q49" s="22">
        <v>59459.175596331268</v>
      </c>
      <c r="R49" s="22">
        <v>57166.702272931005</v>
      </c>
      <c r="S49" s="22">
        <v>61346.338440072184</v>
      </c>
      <c r="T49" s="22">
        <v>36317.786700726509</v>
      </c>
      <c r="U49" s="22">
        <v>131523.50128194178</v>
      </c>
      <c r="V49" s="22">
        <v>92286.021150113986</v>
      </c>
      <c r="W49" s="22">
        <v>73139.744660968659</v>
      </c>
      <c r="X49" s="22">
        <v>24741.88003915747</v>
      </c>
      <c r="Y49" s="22">
        <v>22252.506490150015</v>
      </c>
      <c r="Z49" s="22">
        <v>91587.908603048301</v>
      </c>
      <c r="AA49" s="22">
        <v>86384.016161800013</v>
      </c>
      <c r="AB49" s="22">
        <v>66784.33146132309</v>
      </c>
      <c r="AC49" s="22">
        <v>80530.226789326989</v>
      </c>
      <c r="AD49" s="22">
        <v>76452.419245781843</v>
      </c>
      <c r="AE49" s="22">
        <v>131933.03096824986</v>
      </c>
      <c r="AF49" s="22">
        <v>99989.521929925424</v>
      </c>
      <c r="AG49" s="22">
        <v>127210.07769101203</v>
      </c>
      <c r="AH49" s="22">
        <v>140063.20439573054</v>
      </c>
      <c r="AI49" s="22">
        <v>46944.856742017852</v>
      </c>
      <c r="AJ49" s="22">
        <v>90582.031245712482</v>
      </c>
      <c r="AK49" s="22">
        <v>79143.72033889142</v>
      </c>
      <c r="AL49" s="22">
        <v>42540.490360334887</v>
      </c>
      <c r="AM49" s="22">
        <v>85081.01352193371</v>
      </c>
      <c r="AN49" s="22">
        <v>88185.465625489669</v>
      </c>
      <c r="AO49" s="22">
        <v>128427.69551349286</v>
      </c>
      <c r="AP49" s="22">
        <v>154521.71260315549</v>
      </c>
      <c r="AQ49" s="22">
        <v>65825.71835837535</v>
      </c>
      <c r="AR49" s="22">
        <v>36192.811401728868</v>
      </c>
      <c r="AS49" s="22">
        <v>59003.85517844891</v>
      </c>
      <c r="AT49" s="22">
        <v>40864.345644501365</v>
      </c>
      <c r="AU49" s="22">
        <v>76855.104000207168</v>
      </c>
      <c r="AV49" s="22">
        <v>53587.671753521157</v>
      </c>
      <c r="AW49" s="22">
        <v>43942.687356618793</v>
      </c>
      <c r="AX49" s="22">
        <v>93835.094350702435</v>
      </c>
      <c r="AY49" s="22">
        <v>67304.824363464359</v>
      </c>
      <c r="AZ49" s="22">
        <v>108103.54127841908</v>
      </c>
      <c r="BA49" s="22">
        <v>133641.05031165102</v>
      </c>
      <c r="BB49" s="22">
        <v>84698.822764424796</v>
      </c>
      <c r="BC49" s="22">
        <v>68247.012669069125</v>
      </c>
      <c r="BD49" s="22">
        <v>40495.396354924327</v>
      </c>
      <c r="BE49" s="22">
        <v>55417.762673416633</v>
      </c>
      <c r="BF49" s="22">
        <v>65421.489855132924</v>
      </c>
      <c r="BG49" s="22">
        <v>15997.912055582698</v>
      </c>
      <c r="BH49" s="22">
        <v>84344.341388048997</v>
      </c>
      <c r="BI49" s="22">
        <v>89276.38092118947</v>
      </c>
      <c r="BJ49" s="22">
        <v>112105.30947322412</v>
      </c>
      <c r="BK49" s="22">
        <v>65627.085512272723</v>
      </c>
      <c r="BL49" s="22">
        <v>65856.264478240002</v>
      </c>
      <c r="BM49" s="22">
        <v>195774.64945442576</v>
      </c>
      <c r="BN49" s="22">
        <v>134160.97828521233</v>
      </c>
      <c r="BO49" s="22">
        <v>168237.14695030655</v>
      </c>
      <c r="BP49" s="22"/>
    </row>
    <row r="50" spans="1:100">
      <c r="A50" s="20" t="s">
        <v>12</v>
      </c>
      <c r="B50" s="21" t="s">
        <v>17</v>
      </c>
      <c r="C50" s="22">
        <v>80983.634621340621</v>
      </c>
      <c r="D50" s="22">
        <v>37443.55841825268</v>
      </c>
      <c r="E50" s="22">
        <v>37315.68978485468</v>
      </c>
      <c r="F50" s="22">
        <v>37291.669157213255</v>
      </c>
      <c r="G50" s="22">
        <v>80198.438028944132</v>
      </c>
      <c r="H50" s="22">
        <v>80375.790870220881</v>
      </c>
      <c r="I50" s="22">
        <v>16914.017783352123</v>
      </c>
      <c r="J50" s="22">
        <v>43496.392980612756</v>
      </c>
      <c r="K50" s="22">
        <v>92030.408264056547</v>
      </c>
      <c r="L50" s="22">
        <v>39362.159791394537</v>
      </c>
      <c r="M50" s="22">
        <v>39361.403836672769</v>
      </c>
      <c r="N50" s="22">
        <v>39281.853056144813</v>
      </c>
      <c r="O50" s="22">
        <v>84303.22169865371</v>
      </c>
      <c r="P50" s="22">
        <v>80166.437886920336</v>
      </c>
      <c r="Q50" s="22">
        <v>105606.79344156446</v>
      </c>
      <c r="R50" s="22">
        <v>80085.413195771995</v>
      </c>
      <c r="S50" s="22">
        <v>37191.332310112528</v>
      </c>
      <c r="T50" s="22">
        <v>16862.52302000696</v>
      </c>
      <c r="U50" s="22">
        <v>95925.088610708277</v>
      </c>
      <c r="V50" s="22">
        <v>81692.540907884104</v>
      </c>
      <c r="W50" s="22">
        <v>82060.776866015338</v>
      </c>
      <c r="X50" s="22">
        <v>56057.81265308593</v>
      </c>
      <c r="Y50" s="22">
        <v>44857.758077912709</v>
      </c>
      <c r="Z50" s="22">
        <v>84685.762348151678</v>
      </c>
      <c r="AA50" s="22">
        <v>163523.50358745587</v>
      </c>
      <c r="AB50" s="22">
        <v>28994.344914519897</v>
      </c>
      <c r="AC50" s="22">
        <v>117010.78859856894</v>
      </c>
      <c r="AD50" s="22">
        <v>73658.511002078027</v>
      </c>
      <c r="AE50" s="22">
        <v>114129.80102450731</v>
      </c>
      <c r="AF50" s="22">
        <v>76620.323317950519</v>
      </c>
      <c r="AG50" s="22">
        <v>83630.452743229267</v>
      </c>
      <c r="AH50" s="22">
        <v>204464.29365838206</v>
      </c>
      <c r="AI50" s="22">
        <v>77487.218972035276</v>
      </c>
      <c r="AJ50" s="22">
        <v>188027.58300777434</v>
      </c>
      <c r="AK50" s="22">
        <v>176056.37705150264</v>
      </c>
      <c r="AL50" s="22">
        <v>48352.216564340008</v>
      </c>
      <c r="AM50" s="22">
        <v>139416.92599540667</v>
      </c>
      <c r="AN50" s="22">
        <v>164888.32131380987</v>
      </c>
      <c r="AO50" s="22">
        <v>118998.8476863775</v>
      </c>
      <c r="AP50" s="22">
        <v>212631.57297826157</v>
      </c>
      <c r="AQ50" s="22">
        <v>104261.84898768568</v>
      </c>
      <c r="AR50" s="22">
        <v>57384.31857635238</v>
      </c>
      <c r="AS50" s="22">
        <v>73451.830173595081</v>
      </c>
      <c r="AT50" s="22">
        <v>46646.429760097439</v>
      </c>
      <c r="AU50" s="22">
        <v>92433.175112500612</v>
      </c>
      <c r="AV50" s="22">
        <v>31132.09304218971</v>
      </c>
      <c r="AW50" s="22">
        <v>28970.653584268723</v>
      </c>
      <c r="AX50" s="22">
        <v>117330.20915360261</v>
      </c>
      <c r="AY50" s="22">
        <v>83059.183439697794</v>
      </c>
      <c r="AZ50" s="22">
        <v>148757.25643543818</v>
      </c>
      <c r="BA50" s="22">
        <v>183898.47137672128</v>
      </c>
      <c r="BB50" s="22">
        <v>116550.89508397575</v>
      </c>
      <c r="BC50" s="22">
        <v>169922.4738852653</v>
      </c>
      <c r="BD50" s="22">
        <v>305165.00644253445</v>
      </c>
      <c r="BE50" s="22">
        <v>168426.53361528579</v>
      </c>
      <c r="BF50" s="22">
        <v>151808.2630967538</v>
      </c>
      <c r="BG50" s="22">
        <v>180563.341485132</v>
      </c>
      <c r="BH50" s="22">
        <v>137799.82190910314</v>
      </c>
      <c r="BI50" s="22">
        <v>284225.60415415</v>
      </c>
      <c r="BJ50" s="22">
        <v>143096.76696469277</v>
      </c>
      <c r="BK50" s="22">
        <v>250141.00995337797</v>
      </c>
      <c r="BL50" s="22">
        <v>133857.740961465</v>
      </c>
      <c r="BM50" s="22">
        <v>256185.1127146486</v>
      </c>
      <c r="BN50" s="22">
        <v>249106.55331765465</v>
      </c>
      <c r="BO50" s="22">
        <v>195907.45991168986</v>
      </c>
      <c r="BP50" s="22"/>
    </row>
    <row r="51" spans="1:100">
      <c r="A51" s="20" t="s">
        <v>12</v>
      </c>
      <c r="B51" s="21" t="s">
        <v>18</v>
      </c>
      <c r="C51" s="22">
        <v>15474.579863950437</v>
      </c>
      <c r="D51" s="22">
        <v>3590.478204489983</v>
      </c>
      <c r="E51" s="22">
        <v>3578.2168286846959</v>
      </c>
      <c r="F51" s="22">
        <v>7662.6717446328603</v>
      </c>
      <c r="G51" s="22">
        <v>7662.2711492621775</v>
      </c>
      <c r="H51" s="22">
        <v>3583.6339878442432</v>
      </c>
      <c r="I51" s="22">
        <v>2255.2023711136167</v>
      </c>
      <c r="J51" s="22">
        <v>7164.1117850421015</v>
      </c>
      <c r="K51" s="22">
        <v>7669.2006886713771</v>
      </c>
      <c r="L51" s="22">
        <v>3578.3781628540492</v>
      </c>
      <c r="M51" s="22">
        <v>5623.0576909532519</v>
      </c>
      <c r="N51" s="22">
        <v>12320.217549427234</v>
      </c>
      <c r="O51" s="22">
        <v>10218.572327109541</v>
      </c>
      <c r="P51" s="22">
        <v>7174.1302694982842</v>
      </c>
      <c r="Q51" s="22">
        <v>7346.5595437610054</v>
      </c>
      <c r="R51" s="22">
        <v>8365.6100408322345</v>
      </c>
      <c r="S51" s="22">
        <v>7718.4751301123943</v>
      </c>
      <c r="T51" s="22">
        <v>3576.8988224257191</v>
      </c>
      <c r="U51" s="22">
        <v>3571.6788312497765</v>
      </c>
      <c r="V51" s="22">
        <v>7658.6757101141338</v>
      </c>
      <c r="W51" s="22">
        <v>7693.1978311889379</v>
      </c>
      <c r="X51" s="22">
        <v>1528.8494359932527</v>
      </c>
      <c r="Y51" s="22">
        <v>3568.2307561976017</v>
      </c>
      <c r="Z51" s="22">
        <v>7698.7056680137894</v>
      </c>
      <c r="AA51" s="22">
        <v>29589.967315825346</v>
      </c>
      <c r="AB51" s="22">
        <v>8284.0985470056858</v>
      </c>
      <c r="AC51" s="22">
        <v>26804.233511566454</v>
      </c>
      <c r="AD51" s="22">
        <v>32737.116000923565</v>
      </c>
      <c r="AE51" s="22">
        <v>16304.257289215329</v>
      </c>
      <c r="AF51" s="22">
        <v>14302.460352684097</v>
      </c>
      <c r="AG51" s="22">
        <v>21421.634505107166</v>
      </c>
      <c r="AH51" s="22">
        <v>17038.691138198501</v>
      </c>
      <c r="AI51" s="22">
        <v>43392.842624339755</v>
      </c>
      <c r="AJ51" s="22">
        <v>54456.075953071253</v>
      </c>
      <c r="AK51" s="22">
        <v>44396.825517335448</v>
      </c>
      <c r="AL51" s="22">
        <v>15241.459569194136</v>
      </c>
      <c r="AM51" s="22">
        <v>39156.239500995645</v>
      </c>
      <c r="AN51" s="22">
        <v>36169.051126900231</v>
      </c>
      <c r="AO51" s="22">
        <v>17591.134005812321</v>
      </c>
      <c r="AP51" s="22">
        <v>40409.890178836613</v>
      </c>
      <c r="AQ51" s="22">
        <v>46924.087755397813</v>
      </c>
      <c r="AR51" s="22">
        <v>23266.732804593787</v>
      </c>
      <c r="AS51" s="22">
        <v>28908.541732607777</v>
      </c>
      <c r="AT51" s="22">
        <v>43536.667776090944</v>
      </c>
      <c r="AU51" s="22">
        <v>41605.199153415553</v>
      </c>
      <c r="AV51" s="22">
        <v>33830.207772512818</v>
      </c>
      <c r="AW51" s="22">
        <v>11061.522277629876</v>
      </c>
      <c r="AX51" s="22">
        <v>64375.866969233299</v>
      </c>
      <c r="AY51" s="22">
        <v>52982.018653999752</v>
      </c>
      <c r="AZ51" s="22">
        <v>28270.798694959823</v>
      </c>
      <c r="BA51" s="22">
        <v>34949.264252251844</v>
      </c>
      <c r="BB51" s="22">
        <v>22150.091844874212</v>
      </c>
      <c r="BC51" s="22">
        <v>22679.680874147747</v>
      </c>
      <c r="BD51" s="22">
        <v>19819.377293419606</v>
      </c>
      <c r="BE51" s="22">
        <v>33374.532602967032</v>
      </c>
      <c r="BF51" s="22">
        <v>19262.78182849921</v>
      </c>
      <c r="BG51" s="22">
        <v>4173.2702300751134</v>
      </c>
      <c r="BH51" s="22">
        <v>46656.632614893184</v>
      </c>
      <c r="BI51" s="22">
        <v>45397.899326111838</v>
      </c>
      <c r="BJ51" s="22">
        <v>25317.12030913795</v>
      </c>
      <c r="BK51" s="22">
        <v>37746.503754225952</v>
      </c>
      <c r="BL51" s="22">
        <v>31611.355764515356</v>
      </c>
      <c r="BM51" s="22">
        <v>14878.873358536361</v>
      </c>
      <c r="BN51" s="22">
        <v>15130.953853920755</v>
      </c>
      <c r="BO51" s="22">
        <v>66198.473602934158</v>
      </c>
      <c r="BP51" s="22"/>
    </row>
    <row r="52" spans="1:100">
      <c r="A52" s="20" t="s">
        <v>12</v>
      </c>
      <c r="B52" s="21" t="s">
        <v>19</v>
      </c>
      <c r="C52" s="22">
        <v>3610.735301588435</v>
      </c>
      <c r="D52" s="22">
        <v>769.38818667642488</v>
      </c>
      <c r="E52" s="22">
        <v>1533.5214980077267</v>
      </c>
      <c r="F52" s="22">
        <v>408.67582638041915</v>
      </c>
      <c r="G52" s="22">
        <v>1532.4542298524357</v>
      </c>
      <c r="H52" s="22">
        <v>767.92156882376639</v>
      </c>
      <c r="I52" s="22">
        <v>410.03679474793034</v>
      </c>
      <c r="J52" s="22">
        <v>1535.1668110804503</v>
      </c>
      <c r="K52" s="22">
        <v>766.92006886713784</v>
      </c>
      <c r="L52" s="22">
        <v>3578.3781628540492</v>
      </c>
      <c r="M52" s="22">
        <v>766.78059422089802</v>
      </c>
      <c r="N52" s="22">
        <v>408.12314863527075</v>
      </c>
      <c r="O52" s="22">
        <v>766.39292453321559</v>
      </c>
      <c r="P52" s="22">
        <v>765.92138108522602</v>
      </c>
      <c r="Q52" s="22">
        <v>765.26661914177146</v>
      </c>
      <c r="R52" s="22">
        <v>3570.6872125503442</v>
      </c>
      <c r="S52" s="22">
        <v>3566.2921393258584</v>
      </c>
      <c r="T52" s="22">
        <v>1532.9566381824511</v>
      </c>
      <c r="U52" s="22">
        <v>3571.6788312497765</v>
      </c>
      <c r="V52" s="22">
        <v>3574.0486647199291</v>
      </c>
      <c r="W52" s="22">
        <v>3590.1589878881709</v>
      </c>
      <c r="X52" s="22">
        <v>3057.6988719865053</v>
      </c>
      <c r="Y52" s="22">
        <v>5607.2197597390887</v>
      </c>
      <c r="Z52" s="22">
        <v>8417.251530361742</v>
      </c>
      <c r="AA52" s="22">
        <v>8305.9557377755355</v>
      </c>
      <c r="AB52" s="22">
        <v>8284.0985470056858</v>
      </c>
      <c r="AC52" s="22">
        <v>6185.5923488230274</v>
      </c>
      <c r="AD52" s="22">
        <v>2046.0697500577228</v>
      </c>
      <c r="AE52" s="22">
        <v>764.26206043196862</v>
      </c>
      <c r="AF52" s="22">
        <v>612.96258654360417</v>
      </c>
      <c r="AG52" s="22">
        <v>4079.5342801575252</v>
      </c>
      <c r="AH52" s="22">
        <v>8984.0371455955737</v>
      </c>
      <c r="AI52" s="22">
        <v>7748.721897203528</v>
      </c>
      <c r="AJ52" s="22">
        <v>3596.1559591650825</v>
      </c>
      <c r="AK52" s="22">
        <v>1530.9250178391537</v>
      </c>
      <c r="AL52" s="22">
        <v>1103.6918998381959</v>
      </c>
      <c r="AM52" s="22">
        <v>542.99223808737338</v>
      </c>
      <c r="AN52" s="22">
        <v>12.765547456553023</v>
      </c>
      <c r="AO52" s="22">
        <v>10369.456110132074</v>
      </c>
      <c r="AP52" s="22">
        <v>13685.15977575404</v>
      </c>
      <c r="AQ52" s="22">
        <v>8340.9479190148559</v>
      </c>
      <c r="AR52" s="22">
        <v>4173.4049873710819</v>
      </c>
      <c r="AS52" s="22">
        <v>11804.758420756349</v>
      </c>
      <c r="AT52" s="22">
        <v>23271.385513648613</v>
      </c>
      <c r="AU52" s="22">
        <v>10270.352790277846</v>
      </c>
      <c r="AV52" s="22">
        <v>3113.2093042189708</v>
      </c>
      <c r="AW52" s="22">
        <v>4213.9132486209046</v>
      </c>
      <c r="AX52" s="22">
        <v>36341.215224567182</v>
      </c>
      <c r="AY52" s="22">
        <v>41554.524434509607</v>
      </c>
      <c r="AZ52" s="22">
        <v>9574.1511648879823</v>
      </c>
      <c r="BA52" s="22">
        <v>11835.87144682721</v>
      </c>
      <c r="BB52" s="22">
        <v>7501.3207064710996</v>
      </c>
      <c r="BC52" s="22">
        <v>8756.6335421419881</v>
      </c>
      <c r="BD52" s="22">
        <v>5449.3751150452581</v>
      </c>
      <c r="BE52" s="22">
        <v>21120.687315356838</v>
      </c>
      <c r="BF52" s="22">
        <v>11485.700735335136</v>
      </c>
      <c r="BG52" s="22">
        <v>2257.0417685641501</v>
      </c>
      <c r="BH52" s="22">
        <v>16538.14870502795</v>
      </c>
      <c r="BI52" s="22">
        <v>10860.741465576994</v>
      </c>
      <c r="BJ52" s="22">
        <v>27518.609031671687</v>
      </c>
      <c r="BK52" s="22">
        <v>16901.419591444457</v>
      </c>
      <c r="BL52" s="22">
        <v>16350.701257507943</v>
      </c>
      <c r="BM52" s="22">
        <v>33561.36847790156</v>
      </c>
      <c r="BN52" s="22">
        <v>27286.922999705672</v>
      </c>
      <c r="BO52" s="22">
        <v>4326.6976211068077</v>
      </c>
      <c r="BP52" s="22"/>
    </row>
    <row r="53" spans="1:100">
      <c r="A53" s="20" t="s">
        <v>20</v>
      </c>
      <c r="B53" s="21" t="s">
        <v>21</v>
      </c>
      <c r="C53" s="22">
        <v>86748.405492412581</v>
      </c>
      <c r="D53" s="22">
        <v>39490.556336108253</v>
      </c>
      <c r="E53" s="22">
        <v>18779.275385731438</v>
      </c>
      <c r="F53" s="22">
        <v>101895.46512604681</v>
      </c>
      <c r="G53" s="22">
        <v>113619.09550346519</v>
      </c>
      <c r="H53" s="22">
        <v>250893.65557148936</v>
      </c>
      <c r="I53" s="22">
        <v>39349.532898026533</v>
      </c>
      <c r="J53" s="22">
        <v>30626.730038858088</v>
      </c>
      <c r="K53" s="22">
        <v>69943.956259628438</v>
      </c>
      <c r="L53" s="22">
        <v>57990.48567484205</v>
      </c>
      <c r="M53" s="22">
        <v>50689.176614945507</v>
      </c>
      <c r="N53" s="22">
        <v>16023.363843714313</v>
      </c>
      <c r="O53" s="22">
        <v>33318.423230580549</v>
      </c>
      <c r="P53" s="22">
        <v>57321.676607573223</v>
      </c>
      <c r="Q53" s="22">
        <v>158198.92556810004</v>
      </c>
      <c r="R53" s="22">
        <v>86915.692510987152</v>
      </c>
      <c r="S53" s="22">
        <v>161472.61234080981</v>
      </c>
      <c r="T53" s="22">
        <v>51668.923128927621</v>
      </c>
      <c r="U53" s="22">
        <v>451682.47469887033</v>
      </c>
      <c r="V53" s="22">
        <v>342397.16929645539</v>
      </c>
      <c r="W53" s="22">
        <v>191082.17582333935</v>
      </c>
      <c r="X53" s="22">
        <v>88493.357418451385</v>
      </c>
      <c r="Y53" s="22">
        <v>170188.14783125866</v>
      </c>
      <c r="Z53" s="22">
        <v>169515.47564302883</v>
      </c>
      <c r="AA53" s="22">
        <v>154184.01885371993</v>
      </c>
      <c r="AB53" s="22">
        <v>43335.909651205598</v>
      </c>
      <c r="AC53" s="22">
        <v>302890.02582501475</v>
      </c>
      <c r="AD53" s="22">
        <v>182870.09928187449</v>
      </c>
      <c r="AE53" s="22">
        <v>191681.05188750534</v>
      </c>
      <c r="AF53" s="22">
        <v>135177.88985041084</v>
      </c>
      <c r="AG53" s="22">
        <v>201401.67697786161</v>
      </c>
      <c r="AH53" s="22">
        <v>436017.11811013799</v>
      </c>
      <c r="AI53" s="22">
        <v>284463.73621264833</v>
      </c>
      <c r="AJ53" s="22">
        <v>110599.94096167343</v>
      </c>
      <c r="AK53" s="22">
        <v>133420.11051139544</v>
      </c>
      <c r="AL53" s="22">
        <v>84247.700800053179</v>
      </c>
      <c r="AM53" s="22">
        <v>129785.95246421032</v>
      </c>
      <c r="AN53" s="22">
        <v>164099.773648139</v>
      </c>
      <c r="AO53" s="22">
        <v>193733.77120472191</v>
      </c>
      <c r="AP53" s="22">
        <v>143182.87257245896</v>
      </c>
      <c r="AQ53" s="22">
        <v>302546.33970501693</v>
      </c>
      <c r="AR53" s="22">
        <v>126969.18915821983</v>
      </c>
      <c r="AS53" s="22">
        <v>197255.32983624007</v>
      </c>
      <c r="AT53" s="22">
        <v>283061.87904523604</v>
      </c>
      <c r="AU53" s="22">
        <v>8962.2446031788495</v>
      </c>
      <c r="AV53" s="22">
        <v>49609.70469240981</v>
      </c>
      <c r="AW53" s="22">
        <v>331544.27961593476</v>
      </c>
      <c r="AX53" s="22">
        <v>564983.49023043073</v>
      </c>
      <c r="AY53" s="22">
        <v>584523.36790989421</v>
      </c>
      <c r="AZ53" s="22">
        <v>664581.68765504926</v>
      </c>
      <c r="BA53" s="22">
        <v>1247949.2524345156</v>
      </c>
      <c r="BB53" s="22">
        <v>310817.71427779197</v>
      </c>
      <c r="BC53" s="22">
        <v>31540.820518329536</v>
      </c>
      <c r="BD53" s="22">
        <v>628660.60585486353</v>
      </c>
      <c r="BE53" s="22">
        <v>459277.87228548905</v>
      </c>
      <c r="BF53" s="22">
        <v>713096.88022691174</v>
      </c>
      <c r="BG53" s="22">
        <v>231456.43733999849</v>
      </c>
      <c r="BH53" s="22">
        <v>231193.26403334341</v>
      </c>
      <c r="BI53" s="22">
        <v>856757.18402639264</v>
      </c>
      <c r="BJ53" s="22">
        <v>1154990.5401915023</v>
      </c>
      <c r="BK53" s="22">
        <v>260550.89767782949</v>
      </c>
      <c r="BL53" s="22">
        <v>449480.57886825112</v>
      </c>
      <c r="BM53" s="22">
        <v>1398675.7833986878</v>
      </c>
      <c r="BN53" s="22">
        <v>222594.27956724833</v>
      </c>
      <c r="BO53" s="22">
        <v>105828.95079888274</v>
      </c>
      <c r="BP53" s="22"/>
    </row>
    <row r="54" spans="1:100">
      <c r="A54" s="20" t="s">
        <v>20</v>
      </c>
      <c r="B54" s="21" t="s">
        <v>15</v>
      </c>
      <c r="C54" s="3">
        <v>9688.9507251391624</v>
      </c>
      <c r="D54" s="3">
        <v>1942.1585083331956</v>
      </c>
      <c r="E54" s="3">
        <v>1942.6836605929093</v>
      </c>
      <c r="F54" s="3">
        <v>9688.9507251391624</v>
      </c>
      <c r="G54" s="3">
        <v>9688.9507251391624</v>
      </c>
      <c r="H54" s="3">
        <v>4522.9348158650973</v>
      </c>
      <c r="I54" s="3">
        <v>45229.348158651177</v>
      </c>
      <c r="J54" s="3">
        <v>19384.006353707653</v>
      </c>
      <c r="K54" s="3">
        <v>9692.003176853832</v>
      </c>
      <c r="L54" s="3">
        <v>9692.0031768538247</v>
      </c>
      <c r="M54" s="3">
        <v>9692.0031768538247</v>
      </c>
      <c r="N54" s="3">
        <v>9537.7165736394709</v>
      </c>
      <c r="O54" s="3">
        <v>9537.7165736394745</v>
      </c>
      <c r="P54" s="3">
        <v>6358.4777157596473</v>
      </c>
      <c r="Q54" s="3">
        <v>19075.433147278934</v>
      </c>
      <c r="R54" s="3">
        <v>22906.03902192926</v>
      </c>
      <c r="S54" s="3">
        <v>20363.048649875505</v>
      </c>
      <c r="T54" s="3">
        <v>8838.7698412144018</v>
      </c>
      <c r="U54" s="3">
        <v>10113.662195700803</v>
      </c>
      <c r="V54" s="3">
        <v>17647.909116899129</v>
      </c>
      <c r="W54" s="3">
        <v>11370.179057256551</v>
      </c>
      <c r="X54" s="3">
        <v>10102.702238282</v>
      </c>
      <c r="Y54" s="3">
        <v>5570.8482465837151</v>
      </c>
      <c r="Z54" s="3">
        <v>27131.56202132898</v>
      </c>
      <c r="AA54" s="3">
        <v>29690.781614487903</v>
      </c>
      <c r="AB54" s="3">
        <v>10070.507093756016</v>
      </c>
      <c r="AC54" s="3">
        <v>30902.478587418911</v>
      </c>
      <c r="AD54" s="3">
        <v>18534.507383447752</v>
      </c>
      <c r="AE54" s="3">
        <v>2669.7201382189523</v>
      </c>
      <c r="AF54" s="3">
        <v>12202.703616311221</v>
      </c>
      <c r="AG54" s="3">
        <v>9568.2034368551977</v>
      </c>
      <c r="AH54" s="3">
        <v>8151.782692041772</v>
      </c>
      <c r="AI54" s="3">
        <v>313.02723017602693</v>
      </c>
      <c r="AJ54" s="3">
        <v>3191.2092899456329</v>
      </c>
      <c r="AK54" s="3">
        <v>2141.7811132940114</v>
      </c>
      <c r="AL54" s="3">
        <v>822.07850015013537</v>
      </c>
      <c r="AM54" s="3">
        <v>142.81798360850371</v>
      </c>
      <c r="AN54" s="3">
        <v>2156.0255011595145</v>
      </c>
      <c r="AO54" s="3">
        <v>16414.883791200147</v>
      </c>
      <c r="AP54" s="3">
        <v>6960.6614024924638</v>
      </c>
      <c r="AQ54" s="3">
        <v>63.276121828122996</v>
      </c>
      <c r="AR54" s="3">
        <v>79.789599169380381</v>
      </c>
      <c r="AS54" s="3">
        <v>98.354240130574908</v>
      </c>
      <c r="AT54" s="3">
        <v>3441.1977250801283</v>
      </c>
      <c r="AU54" s="3">
        <v>109407.60885818332</v>
      </c>
      <c r="AV54" s="3">
        <v>24008.501557444455</v>
      </c>
      <c r="AW54" s="3">
        <v>1377.1869467253564</v>
      </c>
      <c r="AX54" s="3">
        <v>5355.8014051610371</v>
      </c>
      <c r="AY54" s="3">
        <v>7384.3977455135901</v>
      </c>
      <c r="AZ54" s="3">
        <v>10391.918358490686</v>
      </c>
      <c r="BA54" s="3">
        <v>25378.091751464875</v>
      </c>
      <c r="BB54" s="3">
        <v>6072.2621219778666</v>
      </c>
      <c r="BC54" s="3">
        <v>18248.762095916129</v>
      </c>
      <c r="BD54" s="3">
        <v>278.29671652952675</v>
      </c>
      <c r="BE54" s="3">
        <v>867.79831843136344</v>
      </c>
      <c r="BF54" s="3">
        <v>1091.7065656076884</v>
      </c>
      <c r="BG54" s="3">
        <v>436.82432208681712</v>
      </c>
      <c r="BH54" s="3">
        <v>3577.4434896766616</v>
      </c>
      <c r="BI54" s="3">
        <v>100618.64976460417</v>
      </c>
      <c r="BJ54" s="3">
        <v>1270.9651307025924</v>
      </c>
      <c r="BK54" s="3">
        <v>30599.427711937518</v>
      </c>
      <c r="BL54" s="3">
        <v>775.48627821117407</v>
      </c>
      <c r="BM54" s="3">
        <v>893.99222421133891</v>
      </c>
      <c r="BN54" s="3">
        <v>26141.754365133413</v>
      </c>
      <c r="BO54" s="3">
        <v>12428.686136421456</v>
      </c>
      <c r="BP54" s="3"/>
    </row>
    <row r="55" spans="1:100">
      <c r="L55" s="8"/>
      <c r="M55" s="15"/>
      <c r="N55" s="15"/>
      <c r="O55" s="16"/>
      <c r="P55" s="9"/>
      <c r="Q55" s="9"/>
    </row>
    <row r="56" spans="1:100">
      <c r="B56" s="21" t="s">
        <v>22</v>
      </c>
      <c r="C56" s="3">
        <f t="shared" ref="C56:AG56" si="6">SUM(C38:C54)</f>
        <v>802743.27890399564</v>
      </c>
      <c r="D56" s="3">
        <f t="shared" si="6"/>
        <v>368322.68181786727</v>
      </c>
      <c r="E56" s="3">
        <f t="shared" si="6"/>
        <v>349294.9552182075</v>
      </c>
      <c r="F56" s="3">
        <f t="shared" si="6"/>
        <v>820978.65600124898</v>
      </c>
      <c r="G56" s="3">
        <f t="shared" si="6"/>
        <v>883462.2815095582</v>
      </c>
      <c r="H56" s="3">
        <f t="shared" si="6"/>
        <v>765008.17932948039</v>
      </c>
      <c r="I56" s="3">
        <f t="shared" si="6"/>
        <v>441157.6633885887</v>
      </c>
      <c r="J56" s="3">
        <f t="shared" si="6"/>
        <v>390744.35461163527</v>
      </c>
      <c r="K56" s="3">
        <f t="shared" si="6"/>
        <v>447956.68634384725</v>
      </c>
      <c r="L56" s="3">
        <f t="shared" si="6"/>
        <v>433402.99937649746</v>
      </c>
      <c r="M56" s="3">
        <f t="shared" si="6"/>
        <v>507289.14810400916</v>
      </c>
      <c r="N56" s="3">
        <f t="shared" si="6"/>
        <v>207370.45391475878</v>
      </c>
      <c r="O56" s="3">
        <f t="shared" si="6"/>
        <v>540076.16623198264</v>
      </c>
      <c r="P56" s="3">
        <f t="shared" si="6"/>
        <v>461384.15523533971</v>
      </c>
      <c r="Q56" s="3">
        <f t="shared" si="6"/>
        <v>1012595.0650408767</v>
      </c>
      <c r="R56" s="3">
        <f t="shared" si="6"/>
        <v>655813.60504698416</v>
      </c>
      <c r="S56" s="3">
        <f t="shared" si="6"/>
        <v>868345.15107557899</v>
      </c>
      <c r="T56" s="3">
        <f t="shared" si="6"/>
        <v>394469.54884146398</v>
      </c>
      <c r="U56" s="3">
        <f t="shared" si="6"/>
        <v>1404258.9044054444</v>
      </c>
      <c r="V56" s="3">
        <f t="shared" si="6"/>
        <v>1249033.6279832129</v>
      </c>
      <c r="W56" s="3">
        <f t="shared" si="6"/>
        <v>840846.52565255621</v>
      </c>
      <c r="X56" s="3">
        <f t="shared" si="6"/>
        <v>487036.46839231916</v>
      </c>
      <c r="Y56" s="3">
        <f t="shared" si="6"/>
        <v>546598.76635040168</v>
      </c>
      <c r="Z56" s="3">
        <f t="shared" si="6"/>
        <v>887374.97565842199</v>
      </c>
      <c r="AA56" s="3">
        <f t="shared" si="6"/>
        <v>1103301.2381555005</v>
      </c>
      <c r="AB56" s="3">
        <f t="shared" si="6"/>
        <v>498961.03353203618</v>
      </c>
      <c r="AC56" s="3">
        <f t="shared" si="6"/>
        <v>1113587.958741731</v>
      </c>
      <c r="AD56" s="3">
        <f t="shared" si="6"/>
        <v>922537.58888784109</v>
      </c>
      <c r="AE56" s="3">
        <f t="shared" si="6"/>
        <v>1089905.555916457</v>
      </c>
      <c r="AF56" s="3">
        <f t="shared" si="6"/>
        <v>859750.01917757944</v>
      </c>
      <c r="AG56" s="3">
        <f t="shared" si="6"/>
        <v>1065615.7596383728</v>
      </c>
      <c r="AH56" s="3">
        <f t="shared" ref="AH56:BI56" si="7">SUM(AH38:AH54)</f>
        <v>1672808.428026421</v>
      </c>
      <c r="AI56" s="3">
        <f t="shared" si="7"/>
        <v>1406615.509792055</v>
      </c>
      <c r="AJ56" s="3">
        <f t="shared" si="7"/>
        <v>951291.17701093247</v>
      </c>
      <c r="AK56" s="3">
        <f t="shared" si="7"/>
        <v>1058729.3391333751</v>
      </c>
      <c r="AL56" s="3">
        <f t="shared" si="7"/>
        <v>469547.46425312513</v>
      </c>
      <c r="AM56" s="3">
        <f t="shared" si="7"/>
        <v>969590.15188150411</v>
      </c>
      <c r="AN56" s="3">
        <f t="shared" si="7"/>
        <v>911671.21833522362</v>
      </c>
      <c r="AO56" s="3">
        <f t="shared" si="7"/>
        <v>1272305.3668797968</v>
      </c>
      <c r="AP56" s="3">
        <f t="shared" si="7"/>
        <v>1484129.2879971659</v>
      </c>
      <c r="AQ56" s="3">
        <f t="shared" si="7"/>
        <v>1316355.6479731416</v>
      </c>
      <c r="AR56" s="3">
        <f t="shared" si="7"/>
        <v>626562.07313655107</v>
      </c>
      <c r="AS56" s="3">
        <f t="shared" si="7"/>
        <v>646947.54237945797</v>
      </c>
      <c r="AT56" s="3">
        <f t="shared" si="7"/>
        <v>893704.66969402437</v>
      </c>
      <c r="AU56" s="3">
        <f t="shared" si="7"/>
        <v>1430013.5923178445</v>
      </c>
      <c r="AV56" s="3">
        <f t="shared" si="7"/>
        <v>622381.58625826344</v>
      </c>
      <c r="AW56" s="3">
        <f t="shared" si="7"/>
        <v>565695.45314743638</v>
      </c>
      <c r="AX56" s="3">
        <f t="shared" si="7"/>
        <v>1571498.4077628013</v>
      </c>
      <c r="AY56" s="3">
        <f t="shared" si="7"/>
        <v>1599416.3501777167</v>
      </c>
      <c r="AZ56" s="3">
        <f t="shared" si="7"/>
        <v>1507917.0628493601</v>
      </c>
      <c r="BA56" s="3">
        <f t="shared" si="7"/>
        <v>2284807.6779473452</v>
      </c>
      <c r="BB56" s="3">
        <f t="shared" si="7"/>
        <v>1017240.3502827246</v>
      </c>
      <c r="BC56" s="3">
        <f t="shared" si="7"/>
        <v>850678.3877592046</v>
      </c>
      <c r="BD56" s="3">
        <f t="shared" si="7"/>
        <v>1311081.2181884097</v>
      </c>
      <c r="BE56" s="3">
        <f t="shared" si="7"/>
        <v>1046983.9370739086</v>
      </c>
      <c r="BF56" s="3">
        <f t="shared" si="7"/>
        <v>1372870.1560723954</v>
      </c>
      <c r="BG56" s="3">
        <f t="shared" si="7"/>
        <v>594200.50444407086</v>
      </c>
      <c r="BH56" s="3">
        <f t="shared" si="7"/>
        <v>1242044.2246987841</v>
      </c>
      <c r="BI56" s="3">
        <f t="shared" si="7"/>
        <v>2023111.389350533</v>
      </c>
      <c r="BJ56" s="3">
        <f>SUM(BJ38:BJ54)</f>
        <v>2042113.1380799259</v>
      </c>
      <c r="BK56" s="3">
        <f t="shared" ref="BK56:BO56" si="8">SUM(BK38:BK54)</f>
        <v>910668.57224872196</v>
      </c>
      <c r="BL56" s="3">
        <f t="shared" si="8"/>
        <v>1036407.6549272037</v>
      </c>
      <c r="BM56" s="3">
        <f t="shared" si="8"/>
        <v>2748090.1188584371</v>
      </c>
      <c r="BN56" s="3">
        <f t="shared" si="8"/>
        <v>918254.62652561814</v>
      </c>
      <c r="BO56" s="3">
        <f t="shared" si="8"/>
        <v>725189.42220023018</v>
      </c>
      <c r="BP56" s="3"/>
    </row>
    <row r="57" spans="1:100">
      <c r="B57" s="2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100">
      <c r="B58" s="2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100">
      <c r="B59" s="2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100" customFormat="1">
      <c r="B60" s="2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</row>
    <row r="61" spans="1:100" customFormat="1">
      <c r="L61" s="8"/>
      <c r="M61" s="15"/>
      <c r="N61" s="15"/>
      <c r="O61" s="16"/>
      <c r="P61" s="9"/>
      <c r="Q61" s="9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</row>
    <row r="62" spans="1:100" customFormat="1">
      <c r="A62" s="1" t="s">
        <v>23</v>
      </c>
      <c r="L62" s="8"/>
      <c r="M62" s="15"/>
      <c r="N62" s="15"/>
      <c r="O62" s="16"/>
      <c r="P62" s="9"/>
      <c r="Q62" s="9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</row>
    <row r="63" spans="1:100" customFormat="1">
      <c r="L63" s="8"/>
      <c r="M63" s="15"/>
      <c r="N63" s="15"/>
      <c r="O63" s="16"/>
      <c r="P63" s="9"/>
      <c r="Q63" s="9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</row>
    <row r="64" spans="1:100" customFormat="1">
      <c r="B64" s="21" t="s">
        <v>22</v>
      </c>
      <c r="C64">
        <v>2075559.9029755977</v>
      </c>
      <c r="D64">
        <v>446408.84240794252</v>
      </c>
      <c r="E64">
        <v>416086.04915350664</v>
      </c>
      <c r="F64">
        <v>317750.16698875179</v>
      </c>
      <c r="G64">
        <v>889752.75302887929</v>
      </c>
      <c r="H64">
        <v>765967.71561347961</v>
      </c>
      <c r="I64">
        <v>459613.47141664359</v>
      </c>
      <c r="J64">
        <v>239102.93742822949</v>
      </c>
      <c r="K64">
        <v>178240.49986784731</v>
      </c>
      <c r="L64">
        <v>221621.82802776655</v>
      </c>
      <c r="M64">
        <v>79225.914902006785</v>
      </c>
      <c r="N64">
        <v>22173.991752210713</v>
      </c>
      <c r="O64">
        <v>36211.360613742814</v>
      </c>
      <c r="P64">
        <v>104747.56541468592</v>
      </c>
      <c r="Q64">
        <v>432362.79519088636</v>
      </c>
      <c r="R64">
        <v>402398.58528369991</v>
      </c>
      <c r="S64">
        <v>627391.5294067075</v>
      </c>
      <c r="T64">
        <v>86510.977517269988</v>
      </c>
      <c r="U64">
        <v>1413299.5104009022</v>
      </c>
      <c r="V64">
        <v>2017519.4895805491</v>
      </c>
      <c r="W64">
        <v>259551.18622992371</v>
      </c>
      <c r="X64">
        <v>324784.65875017754</v>
      </c>
      <c r="Y64">
        <v>628666.17126761458</v>
      </c>
      <c r="Z64">
        <v>107454.55860608522</v>
      </c>
      <c r="AA64">
        <v>935508.49928602902</v>
      </c>
      <c r="AB64">
        <v>53197.221412738138</v>
      </c>
      <c r="AC64">
        <v>585373.26795637084</v>
      </c>
      <c r="AD64">
        <v>120305.05976528612</v>
      </c>
      <c r="AE64">
        <v>1125706.9398903744</v>
      </c>
      <c r="AF64">
        <v>190619.3425302016</v>
      </c>
      <c r="AG64">
        <v>212330.48305492944</v>
      </c>
      <c r="AH64">
        <v>1111696.889792847</v>
      </c>
      <c r="AI64">
        <v>1239426.0795029784</v>
      </c>
      <c r="AJ64">
        <v>488774.65357272857</v>
      </c>
      <c r="AK64">
        <v>1167754.785968171</v>
      </c>
      <c r="AL64">
        <v>427857.57247016818</v>
      </c>
      <c r="AM64">
        <v>1107934.3447556191</v>
      </c>
      <c r="AN64">
        <v>707639.8952629267</v>
      </c>
      <c r="AO64">
        <v>1856412.415876851</v>
      </c>
      <c r="AP64">
        <v>1789769.3563415043</v>
      </c>
      <c r="AQ64">
        <v>1560512.6610544939</v>
      </c>
      <c r="AR64">
        <v>282360.28180064331</v>
      </c>
      <c r="AS64">
        <v>151033.44975988561</v>
      </c>
      <c r="AT64">
        <v>179371.34475391282</v>
      </c>
      <c r="AU64">
        <v>1951344.1126360223</v>
      </c>
      <c r="AV64">
        <v>121734.90244128289</v>
      </c>
      <c r="AW64">
        <v>137582.22068619396</v>
      </c>
      <c r="AX64">
        <v>391062.41768720292</v>
      </c>
      <c r="AY64">
        <v>1083883.3022875385</v>
      </c>
      <c r="AZ64">
        <v>649398.9676522396</v>
      </c>
      <c r="BA64">
        <v>1087508.2884634931</v>
      </c>
      <c r="BB64">
        <v>760505.04743008071</v>
      </c>
      <c r="BC64">
        <v>585623.70770624478</v>
      </c>
      <c r="BD64">
        <v>402407.62738250225</v>
      </c>
      <c r="BE64">
        <v>236961.29880458003</v>
      </c>
      <c r="BF64">
        <v>389350.82177779719</v>
      </c>
      <c r="BG64">
        <v>41439.035597647431</v>
      </c>
      <c r="BH64">
        <v>900337.13991611765</v>
      </c>
      <c r="BI64">
        <v>460554.40783694707</v>
      </c>
      <c r="BJ64">
        <v>469672.32036908704</v>
      </c>
      <c r="BK64">
        <v>252014.4889792648</v>
      </c>
      <c r="BL64">
        <v>607713.36036836565</v>
      </c>
      <c r="BM64">
        <v>1678877.9026236094</v>
      </c>
      <c r="BN64">
        <v>587319.77800468088</v>
      </c>
      <c r="BO64">
        <v>183315.18053365234</v>
      </c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</row>
    <row r="65" spans="1:100" customFormat="1">
      <c r="L65" s="8"/>
      <c r="M65" s="15"/>
      <c r="N65" s="15"/>
      <c r="O65" s="16"/>
      <c r="P65" s="9"/>
      <c r="Q65" s="9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</row>
    <row r="66" spans="1:100" customFormat="1">
      <c r="C66" s="14">
        <f t="shared" ref="C66:BI66" si="9">C64-C67</f>
        <v>0</v>
      </c>
      <c r="D66" s="14">
        <f t="shared" si="9"/>
        <v>0</v>
      </c>
      <c r="E66" s="14">
        <f t="shared" si="9"/>
        <v>0</v>
      </c>
      <c r="F66" s="14">
        <f t="shared" si="9"/>
        <v>0</v>
      </c>
      <c r="G66" s="14">
        <f t="shared" si="9"/>
        <v>0</v>
      </c>
      <c r="H66" s="14">
        <f t="shared" si="9"/>
        <v>0</v>
      </c>
      <c r="I66" s="14">
        <f t="shared" si="9"/>
        <v>0</v>
      </c>
      <c r="J66" s="14">
        <f t="shared" si="9"/>
        <v>0</v>
      </c>
      <c r="K66" s="14">
        <f t="shared" si="9"/>
        <v>0</v>
      </c>
      <c r="L66" s="14">
        <f t="shared" si="9"/>
        <v>0</v>
      </c>
      <c r="M66" s="14">
        <f t="shared" si="9"/>
        <v>0</v>
      </c>
      <c r="N66" s="14">
        <f t="shared" si="9"/>
        <v>0</v>
      </c>
      <c r="O66" s="14">
        <f t="shared" si="9"/>
        <v>0</v>
      </c>
      <c r="P66" s="14">
        <f t="shared" si="9"/>
        <v>0</v>
      </c>
      <c r="Q66" s="14">
        <f t="shared" si="9"/>
        <v>0</v>
      </c>
      <c r="R66" s="14">
        <f t="shared" si="9"/>
        <v>0</v>
      </c>
      <c r="S66" s="14">
        <f t="shared" si="9"/>
        <v>0</v>
      </c>
      <c r="T66" s="14">
        <f t="shared" si="9"/>
        <v>0</v>
      </c>
      <c r="U66" s="14">
        <f t="shared" si="9"/>
        <v>0</v>
      </c>
      <c r="V66" s="14">
        <f t="shared" si="9"/>
        <v>0</v>
      </c>
      <c r="W66" s="14">
        <f t="shared" si="9"/>
        <v>0</v>
      </c>
      <c r="X66" s="14">
        <f t="shared" si="9"/>
        <v>0</v>
      </c>
      <c r="Y66" s="14">
        <f t="shared" si="9"/>
        <v>0</v>
      </c>
      <c r="Z66" s="14">
        <f t="shared" si="9"/>
        <v>0</v>
      </c>
      <c r="AA66" s="14">
        <f t="shared" si="9"/>
        <v>0</v>
      </c>
      <c r="AB66" s="14">
        <f t="shared" si="9"/>
        <v>0</v>
      </c>
      <c r="AC66" s="14">
        <f t="shared" si="9"/>
        <v>0</v>
      </c>
      <c r="AD66" s="14">
        <f t="shared" si="9"/>
        <v>0</v>
      </c>
      <c r="AE66" s="14">
        <f t="shared" si="9"/>
        <v>0</v>
      </c>
      <c r="AF66" s="14">
        <f t="shared" si="9"/>
        <v>0</v>
      </c>
      <c r="AG66" s="14">
        <f t="shared" si="9"/>
        <v>0</v>
      </c>
      <c r="AH66" s="14">
        <f t="shared" si="9"/>
        <v>0</v>
      </c>
      <c r="AI66" s="14">
        <f t="shared" si="9"/>
        <v>0</v>
      </c>
      <c r="AJ66" s="14">
        <f t="shared" si="9"/>
        <v>0</v>
      </c>
      <c r="AK66" s="14">
        <f t="shared" si="9"/>
        <v>0</v>
      </c>
      <c r="AL66" s="14">
        <f t="shared" si="9"/>
        <v>0</v>
      </c>
      <c r="AM66" s="14">
        <f t="shared" si="9"/>
        <v>0</v>
      </c>
      <c r="AN66" s="14">
        <f t="shared" si="9"/>
        <v>0</v>
      </c>
      <c r="AO66" s="14">
        <f t="shared" si="9"/>
        <v>0</v>
      </c>
      <c r="AP66" s="14">
        <f t="shared" si="9"/>
        <v>0</v>
      </c>
      <c r="AQ66" s="14">
        <f t="shared" si="9"/>
        <v>0</v>
      </c>
      <c r="AR66" s="14">
        <f t="shared" si="9"/>
        <v>0</v>
      </c>
      <c r="AS66" s="14">
        <f t="shared" si="9"/>
        <v>0</v>
      </c>
      <c r="AT66" s="14">
        <f t="shared" si="9"/>
        <v>0</v>
      </c>
      <c r="AU66" s="14">
        <f t="shared" si="9"/>
        <v>0</v>
      </c>
      <c r="AV66" s="14">
        <f t="shared" si="9"/>
        <v>0</v>
      </c>
      <c r="AW66" s="14">
        <f t="shared" si="9"/>
        <v>0</v>
      </c>
      <c r="AX66" s="14">
        <f t="shared" si="9"/>
        <v>0</v>
      </c>
      <c r="AY66" s="14">
        <f t="shared" si="9"/>
        <v>0</v>
      </c>
      <c r="AZ66" s="14">
        <f t="shared" si="9"/>
        <v>0</v>
      </c>
      <c r="BA66" s="14">
        <f t="shared" si="9"/>
        <v>0</v>
      </c>
      <c r="BB66" s="14">
        <f t="shared" si="9"/>
        <v>0</v>
      </c>
      <c r="BC66" s="14">
        <f t="shared" si="9"/>
        <v>0</v>
      </c>
      <c r="BD66" s="14">
        <f t="shared" si="9"/>
        <v>0</v>
      </c>
      <c r="BE66" s="14">
        <f t="shared" si="9"/>
        <v>0</v>
      </c>
      <c r="BF66" s="14">
        <f t="shared" si="9"/>
        <v>0</v>
      </c>
      <c r="BG66" s="14">
        <f t="shared" si="9"/>
        <v>0</v>
      </c>
      <c r="BH66" s="14">
        <f t="shared" si="9"/>
        <v>0</v>
      </c>
      <c r="BI66" s="14">
        <f t="shared" si="9"/>
        <v>0</v>
      </c>
      <c r="BJ66" s="14">
        <f>BJ64-BJ67</f>
        <v>0</v>
      </c>
      <c r="BK66" s="14">
        <f t="shared" ref="BK66:BO66" si="10">BK64-BK67</f>
        <v>0</v>
      </c>
      <c r="BL66" s="14">
        <f t="shared" si="10"/>
        <v>0</v>
      </c>
      <c r="BM66" s="14">
        <f t="shared" si="10"/>
        <v>0</v>
      </c>
      <c r="BN66" s="14">
        <f t="shared" si="10"/>
        <v>-0.99999999988358468</v>
      </c>
      <c r="BO66" s="14">
        <f t="shared" si="10"/>
        <v>-2</v>
      </c>
      <c r="BP66" s="1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</row>
    <row r="67" spans="1:100" customFormat="1">
      <c r="C67" s="14">
        <f t="shared" ref="C67:BI67" si="11">SUM(C68:C84)</f>
        <v>2075559.9029755974</v>
      </c>
      <c r="D67" s="14">
        <f t="shared" si="11"/>
        <v>446408.84240794252</v>
      </c>
      <c r="E67" s="14">
        <f t="shared" si="11"/>
        <v>416086.04915350664</v>
      </c>
      <c r="F67" s="14">
        <f t="shared" si="11"/>
        <v>317750.16698875173</v>
      </c>
      <c r="G67" s="14">
        <f t="shared" si="11"/>
        <v>889752.75302887917</v>
      </c>
      <c r="H67" s="14">
        <f t="shared" si="11"/>
        <v>765967.71561347961</v>
      </c>
      <c r="I67" s="14">
        <f t="shared" si="11"/>
        <v>459613.47141664365</v>
      </c>
      <c r="J67" s="14">
        <f t="shared" si="11"/>
        <v>239102.93742822952</v>
      </c>
      <c r="K67" s="14">
        <f t="shared" si="11"/>
        <v>178240.49986784731</v>
      </c>
      <c r="L67" s="14">
        <f t="shared" si="11"/>
        <v>221621.82802776655</v>
      </c>
      <c r="M67" s="14">
        <f t="shared" si="11"/>
        <v>79225.914902006785</v>
      </c>
      <c r="N67" s="14">
        <f t="shared" si="11"/>
        <v>22173.991752210713</v>
      </c>
      <c r="O67" s="14">
        <f t="shared" si="11"/>
        <v>36211.360613742821</v>
      </c>
      <c r="P67" s="14">
        <f t="shared" si="11"/>
        <v>104747.56541468592</v>
      </c>
      <c r="Q67" s="14">
        <f t="shared" si="11"/>
        <v>432362.79519088642</v>
      </c>
      <c r="R67" s="14">
        <f t="shared" si="11"/>
        <v>402398.58528369985</v>
      </c>
      <c r="S67" s="14">
        <f t="shared" si="11"/>
        <v>627391.52940670762</v>
      </c>
      <c r="T67" s="14">
        <f t="shared" si="11"/>
        <v>86510.977517269974</v>
      </c>
      <c r="U67" s="14">
        <f t="shared" si="11"/>
        <v>1413299.5104009022</v>
      </c>
      <c r="V67" s="14">
        <f t="shared" si="11"/>
        <v>2017519.4895805488</v>
      </c>
      <c r="W67" s="14">
        <f t="shared" si="11"/>
        <v>259551.18622992371</v>
      </c>
      <c r="X67" s="14">
        <f t="shared" si="11"/>
        <v>324784.65875017748</v>
      </c>
      <c r="Y67" s="14">
        <f t="shared" si="11"/>
        <v>628666.1712676147</v>
      </c>
      <c r="Z67" s="14">
        <f t="shared" si="11"/>
        <v>107454.55860608522</v>
      </c>
      <c r="AA67" s="14">
        <f t="shared" si="11"/>
        <v>935508.49928602902</v>
      </c>
      <c r="AB67" s="14">
        <f t="shared" si="11"/>
        <v>53197.22141273813</v>
      </c>
      <c r="AC67" s="14">
        <f t="shared" si="11"/>
        <v>585373.26795637072</v>
      </c>
      <c r="AD67" s="14">
        <f t="shared" si="11"/>
        <v>120305.05976528609</v>
      </c>
      <c r="AE67" s="14">
        <f t="shared" si="11"/>
        <v>1125706.9398903744</v>
      </c>
      <c r="AF67" s="14">
        <f t="shared" si="11"/>
        <v>190619.34253020157</v>
      </c>
      <c r="AG67" s="14">
        <f t="shared" si="11"/>
        <v>212330.48305492938</v>
      </c>
      <c r="AH67" s="14">
        <f t="shared" si="11"/>
        <v>1111696.8897928467</v>
      </c>
      <c r="AI67" s="14">
        <f t="shared" si="11"/>
        <v>1239426.0795029786</v>
      </c>
      <c r="AJ67" s="14">
        <f t="shared" si="11"/>
        <v>488774.65357272851</v>
      </c>
      <c r="AK67" s="14">
        <f t="shared" si="11"/>
        <v>1167754.785968171</v>
      </c>
      <c r="AL67" s="14">
        <f t="shared" si="11"/>
        <v>427857.57247016818</v>
      </c>
      <c r="AM67" s="14">
        <f t="shared" si="11"/>
        <v>1107934.3447556191</v>
      </c>
      <c r="AN67" s="14">
        <f t="shared" si="11"/>
        <v>707639.89526292682</v>
      </c>
      <c r="AO67" s="14">
        <f t="shared" si="11"/>
        <v>1856412.4158768512</v>
      </c>
      <c r="AP67" s="14">
        <f t="shared" si="11"/>
        <v>1789769.3563415045</v>
      </c>
      <c r="AQ67" s="14">
        <f t="shared" si="11"/>
        <v>1560512.6610544934</v>
      </c>
      <c r="AR67" s="14">
        <f t="shared" si="11"/>
        <v>282360.28180064325</v>
      </c>
      <c r="AS67" s="14">
        <f t="shared" si="11"/>
        <v>151033.44975988561</v>
      </c>
      <c r="AT67" s="14">
        <f t="shared" si="11"/>
        <v>179371.3447539128</v>
      </c>
      <c r="AU67" s="14">
        <f t="shared" si="11"/>
        <v>1951344.1126360223</v>
      </c>
      <c r="AV67" s="14">
        <f t="shared" si="11"/>
        <v>121734.90244128292</v>
      </c>
      <c r="AW67" s="14">
        <f t="shared" si="11"/>
        <v>137582.22068619396</v>
      </c>
      <c r="AX67" s="14">
        <f t="shared" si="11"/>
        <v>391062.41768720286</v>
      </c>
      <c r="AY67" s="14">
        <f t="shared" si="11"/>
        <v>1083883.3022875385</v>
      </c>
      <c r="AZ67" s="14">
        <f t="shared" si="11"/>
        <v>649398.9676522396</v>
      </c>
      <c r="BA67" s="14">
        <f t="shared" si="11"/>
        <v>1087508.2884634933</v>
      </c>
      <c r="BB67" s="14">
        <f t="shared" si="11"/>
        <v>760505.04743008083</v>
      </c>
      <c r="BC67" s="14">
        <f t="shared" si="11"/>
        <v>585623.7077062449</v>
      </c>
      <c r="BD67" s="14">
        <f t="shared" si="11"/>
        <v>402407.62738250225</v>
      </c>
      <c r="BE67" s="14">
        <f t="shared" si="11"/>
        <v>236961.29880458003</v>
      </c>
      <c r="BF67" s="14">
        <f t="shared" si="11"/>
        <v>389350.82177779713</v>
      </c>
      <c r="BG67" s="14">
        <f t="shared" si="11"/>
        <v>41439.035597647431</v>
      </c>
      <c r="BH67" s="14">
        <f t="shared" si="11"/>
        <v>900337.13991611754</v>
      </c>
      <c r="BI67" s="14">
        <f t="shared" si="11"/>
        <v>460554.40783694695</v>
      </c>
      <c r="BJ67" s="14">
        <f>SUM(BJ68:BJ84)</f>
        <v>469672.32036908704</v>
      </c>
      <c r="BK67" s="14">
        <f t="shared" ref="BK67:BO67" si="12">SUM(BK68:BK84)</f>
        <v>252014.4889792648</v>
      </c>
      <c r="BL67" s="14">
        <f t="shared" si="12"/>
        <v>607713.36036836565</v>
      </c>
      <c r="BM67" s="14">
        <f t="shared" si="12"/>
        <v>1678877.9026236096</v>
      </c>
      <c r="BN67" s="14">
        <f t="shared" si="12"/>
        <v>587320.77800468076</v>
      </c>
      <c r="BO67" s="14">
        <f t="shared" si="12"/>
        <v>183317.18053365234</v>
      </c>
      <c r="BP67" s="1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</row>
    <row r="68" spans="1:100" customFormat="1">
      <c r="A68" s="20" t="s">
        <v>5</v>
      </c>
      <c r="B68" s="21" t="s">
        <v>6</v>
      </c>
      <c r="C68" s="14">
        <v>6107.8815768996792</v>
      </c>
      <c r="D68" s="14">
        <v>2569.1908545850824</v>
      </c>
      <c r="E68" s="14">
        <v>3988.0954290245249</v>
      </c>
      <c r="F68" s="14">
        <v>1719.6386555863246</v>
      </c>
      <c r="G68" s="14">
        <v>3978.567883668798</v>
      </c>
      <c r="H68" s="14">
        <v>684.74065427558003</v>
      </c>
      <c r="I68" s="14">
        <v>1039.4873302848348</v>
      </c>
      <c r="J68" s="14">
        <v>1017.1384349718202</v>
      </c>
      <c r="K68" s="14">
        <v>254.92635070753047</v>
      </c>
      <c r="L68" s="14">
        <v>914.19085702086318</v>
      </c>
      <c r="M68" s="14">
        <v>202.45396661420219</v>
      </c>
      <c r="N68" s="14">
        <v>26.123290905831709</v>
      </c>
      <c r="O68" s="14">
        <v>150.60291204493043</v>
      </c>
      <c r="P68" s="14">
        <v>547.54609485982769</v>
      </c>
      <c r="Q68" s="14">
        <v>575.3467883502309</v>
      </c>
      <c r="R68" s="14">
        <v>816.35025211837763</v>
      </c>
      <c r="S68" s="14">
        <v>1292.2895530765188</v>
      </c>
      <c r="T68" s="14">
        <v>388.00480183854802</v>
      </c>
      <c r="U68" s="14">
        <v>1525.4187858683313</v>
      </c>
      <c r="V68" s="14">
        <v>4667.3557777692668</v>
      </c>
      <c r="W68" s="14">
        <v>780.21715026523941</v>
      </c>
      <c r="X68" s="14">
        <v>996.37947509382309</v>
      </c>
      <c r="Y68" s="14">
        <v>1745.16834658568</v>
      </c>
      <c r="Z68" s="14">
        <v>988.15495071301245</v>
      </c>
      <c r="AA68" s="14">
        <v>3456.1519049662375</v>
      </c>
      <c r="AB68" s="14">
        <v>83.394621143598158</v>
      </c>
      <c r="AC68" s="14">
        <v>336.1593948942799</v>
      </c>
      <c r="AD68" s="14">
        <v>119.2355364407435</v>
      </c>
      <c r="AE68" s="14">
        <v>1692.2761537439128</v>
      </c>
      <c r="AF68" s="14">
        <v>129.90825021189741</v>
      </c>
      <c r="AG68" s="14">
        <v>64.193450735892924</v>
      </c>
      <c r="AH68" s="14">
        <v>274.01820762575875</v>
      </c>
      <c r="AI68" s="14">
        <v>184.35601234165293</v>
      </c>
      <c r="AJ68" s="14">
        <v>40.394122194527625</v>
      </c>
      <c r="AK68" s="14">
        <v>1112.5914497820281</v>
      </c>
      <c r="AL68" s="14">
        <v>166.34762327560938</v>
      </c>
      <c r="AM68" s="14">
        <v>93.76859426432874</v>
      </c>
      <c r="AN68" s="14">
        <v>85.480420766056852</v>
      </c>
      <c r="AO68" s="14">
        <v>96.531042367603973</v>
      </c>
      <c r="AP68" s="14">
        <v>228.46030086055123</v>
      </c>
      <c r="AQ68" s="14">
        <v>490.0714777284166</v>
      </c>
      <c r="AR68" s="14">
        <v>113.94316654934511</v>
      </c>
      <c r="AS68" s="14">
        <v>174.60207642755998</v>
      </c>
      <c r="AT68" s="14">
        <v>4.6125424626449467</v>
      </c>
      <c r="AU68" s="14">
        <v>258.04957901725652</v>
      </c>
      <c r="AV68" s="14">
        <v>2.901329020266123</v>
      </c>
      <c r="AW68" s="14">
        <v>63.708523894647243</v>
      </c>
      <c r="AX68" s="14">
        <v>28.750338338066591</v>
      </c>
      <c r="AY68" s="14">
        <v>48.031938320025773</v>
      </c>
      <c r="AZ68" s="14">
        <v>23.447271850246633</v>
      </c>
      <c r="BA68" s="14">
        <v>122.71186653718262</v>
      </c>
      <c r="BB68" s="14">
        <v>64.749068217349858</v>
      </c>
      <c r="BC68" s="14">
        <v>265.80667774913854</v>
      </c>
      <c r="BD68" s="14">
        <v>1.2667297376686679</v>
      </c>
      <c r="BE68" s="14">
        <v>7.0334538096631736</v>
      </c>
      <c r="BF68" s="14">
        <v>18.574067595405573</v>
      </c>
      <c r="BG68" s="14">
        <v>6.1358036196622354</v>
      </c>
      <c r="BH68" s="14">
        <v>164.92132899660501</v>
      </c>
      <c r="BI68" s="14">
        <v>16.691278842858242</v>
      </c>
      <c r="BJ68" s="14">
        <v>138.70379707127927</v>
      </c>
      <c r="BK68" s="14">
        <v>32.232310541519844</v>
      </c>
      <c r="BL68" s="14">
        <v>181.88025399223008</v>
      </c>
      <c r="BM68" s="14">
        <v>95.513854493865111</v>
      </c>
      <c r="BN68" s="14">
        <v>26.701600177858889</v>
      </c>
      <c r="BO68" s="14">
        <v>24.187482744719539</v>
      </c>
      <c r="BP68" s="1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</row>
    <row r="69" spans="1:100" customFormat="1">
      <c r="A69" s="20" t="s">
        <v>7</v>
      </c>
      <c r="B69" s="21" t="s">
        <v>6</v>
      </c>
      <c r="C69" s="14">
        <v>7220.4158984317983</v>
      </c>
      <c r="D69" s="14">
        <v>2748.8585107640597</v>
      </c>
      <c r="E69" s="14">
        <v>2848.4825038420831</v>
      </c>
      <c r="F69" s="14">
        <v>1965.4090210308807</v>
      </c>
      <c r="G69" s="14">
        <v>3508.7690210347268</v>
      </c>
      <c r="H69" s="14">
        <v>1609.6796460262312</v>
      </c>
      <c r="I69" s="14">
        <v>2600.574954729248</v>
      </c>
      <c r="J69" s="14">
        <v>1720.3656729912495</v>
      </c>
      <c r="K69" s="14">
        <v>307.8192509444803</v>
      </c>
      <c r="L69" s="14">
        <v>461.04854901892793</v>
      </c>
      <c r="M69" s="14">
        <v>602.07567795078739</v>
      </c>
      <c r="N69" s="14">
        <v>204.05482210259845</v>
      </c>
      <c r="O69" s="14">
        <v>69.326498595500851</v>
      </c>
      <c r="P69" s="14">
        <v>163.38264815871869</v>
      </c>
      <c r="Q69" s="14">
        <v>1747.157427316743</v>
      </c>
      <c r="R69" s="14">
        <v>471.60358953152701</v>
      </c>
      <c r="S69" s="14">
        <v>345.23433403542583</v>
      </c>
      <c r="T69" s="14">
        <v>41.655884883276094</v>
      </c>
      <c r="U69" s="14">
        <v>787.22177102434864</v>
      </c>
      <c r="V69" s="14">
        <v>554.48675354639477</v>
      </c>
      <c r="W69" s="14">
        <v>129.41336623927444</v>
      </c>
      <c r="X69" s="14">
        <v>49.960866954651152</v>
      </c>
      <c r="Y69" s="14">
        <v>79.693880037141511</v>
      </c>
      <c r="Z69" s="14">
        <v>9.3279142329153508</v>
      </c>
      <c r="AA69" s="14">
        <v>40.432610379307057</v>
      </c>
      <c r="AB69" s="14">
        <v>93.681687963339115</v>
      </c>
      <c r="AC69" s="14">
        <v>145.61335393502415</v>
      </c>
      <c r="AD69" s="14">
        <v>69.209310897543915</v>
      </c>
      <c r="AE69" s="14">
        <v>95.538205112329081</v>
      </c>
      <c r="AF69" s="14">
        <v>17.984135767707805</v>
      </c>
      <c r="AG69" s="14">
        <v>6.2497274969978847</v>
      </c>
      <c r="AH69" s="14">
        <v>52.540643489677485</v>
      </c>
      <c r="AI69" s="14">
        <v>159.3593109327125</v>
      </c>
      <c r="AJ69" s="14">
        <v>17.947411147812794</v>
      </c>
      <c r="AK69" s="14">
        <v>258.5676258611864</v>
      </c>
      <c r="AL69" s="14">
        <v>59.513048528374263</v>
      </c>
      <c r="AM69" s="14">
        <v>46.575493703327936</v>
      </c>
      <c r="AN69" s="14">
        <v>40.457697470180364</v>
      </c>
      <c r="AO69" s="14">
        <v>141.27461924750219</v>
      </c>
      <c r="AP69" s="14">
        <v>157.41283845146148</v>
      </c>
      <c r="AQ69" s="14">
        <v>383.28639820265522</v>
      </c>
      <c r="AR69" s="14">
        <v>52.790140259275773</v>
      </c>
      <c r="AS69" s="14">
        <v>67.722308040104991</v>
      </c>
      <c r="AT69" s="14">
        <v>49.495377886446839</v>
      </c>
      <c r="AU69" s="14">
        <v>205.10896029308722</v>
      </c>
      <c r="AV69" s="14">
        <v>14.073986344610665</v>
      </c>
      <c r="AW69" s="14">
        <v>17.842527480646488</v>
      </c>
      <c r="AX69" s="14">
        <v>5.1745818537881902</v>
      </c>
      <c r="AY69" s="14">
        <v>62.279599062909902</v>
      </c>
      <c r="AZ69" s="14">
        <v>137.43467338891674</v>
      </c>
      <c r="BA69" s="14">
        <v>45.02735932721756</v>
      </c>
      <c r="BB69" s="14">
        <v>123.95945291283223</v>
      </c>
      <c r="BC69" s="14">
        <v>168.70299638337266</v>
      </c>
      <c r="BD69" s="14">
        <v>14.627418447383221</v>
      </c>
      <c r="BE69" s="14">
        <v>48.620636453604561</v>
      </c>
      <c r="BF69" s="14">
        <v>18.548261902212072</v>
      </c>
      <c r="BG69" s="14">
        <v>10.224035116175182</v>
      </c>
      <c r="BH69" s="14">
        <v>82.969599542276526</v>
      </c>
      <c r="BI69" s="14">
        <v>29.572600075530431</v>
      </c>
      <c r="BJ69" s="14">
        <v>44.736014365281626</v>
      </c>
      <c r="BK69" s="14">
        <v>17.222265241284298</v>
      </c>
      <c r="BL69" s="14">
        <v>22.169726843377351</v>
      </c>
      <c r="BM69" s="14">
        <v>96.685397637479369</v>
      </c>
      <c r="BN69" s="14">
        <v>0.78996860561906712</v>
      </c>
      <c r="BO69" s="14">
        <v>23.435915161193993</v>
      </c>
      <c r="BP69" s="1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</row>
    <row r="70" spans="1:100" customFormat="1">
      <c r="A70" s="20" t="s">
        <v>7</v>
      </c>
      <c r="B70" s="21" t="s">
        <v>8</v>
      </c>
      <c r="C70" s="14">
        <v>2569.4359584622543</v>
      </c>
      <c r="D70" s="14">
        <v>530.99079157895255</v>
      </c>
      <c r="E70" s="14">
        <v>676.60108572189847</v>
      </c>
      <c r="F70" s="14">
        <v>1045.5721575772479</v>
      </c>
      <c r="G70" s="14">
        <v>1542.1070001132632</v>
      </c>
      <c r="H70" s="14">
        <v>492.66703513773837</v>
      </c>
      <c r="I70" s="14">
        <v>717.70436853390868</v>
      </c>
      <c r="J70" s="14">
        <v>635.95963060764223</v>
      </c>
      <c r="K70" s="14">
        <v>683.40099356210908</v>
      </c>
      <c r="L70" s="14">
        <v>1060.9902342733285</v>
      </c>
      <c r="M70" s="14">
        <v>163.52575960211411</v>
      </c>
      <c r="N70" s="14">
        <v>36.200892466475331</v>
      </c>
      <c r="O70" s="14">
        <v>171.49504489368013</v>
      </c>
      <c r="P70" s="14">
        <v>632.96748262733752</v>
      </c>
      <c r="Q70" s="14">
        <v>995.16728751061044</v>
      </c>
      <c r="R70" s="14">
        <v>430.3546946063841</v>
      </c>
      <c r="S70" s="14">
        <v>1237.6915502793518</v>
      </c>
      <c r="T70" s="14">
        <v>281.36161405426776</v>
      </c>
      <c r="U70" s="14">
        <v>807.51215264229563</v>
      </c>
      <c r="V70" s="14">
        <v>4213.9921905377723</v>
      </c>
      <c r="W70" s="14">
        <v>371.37886595131732</v>
      </c>
      <c r="X70" s="14">
        <v>950.34079092482784</v>
      </c>
      <c r="Y70" s="14">
        <v>914.64975413471495</v>
      </c>
      <c r="Z70" s="14">
        <v>164.92869515032129</v>
      </c>
      <c r="AA70" s="14">
        <v>798.79022927195786</v>
      </c>
      <c r="AB70" s="14">
        <v>197.02315082210467</v>
      </c>
      <c r="AC70" s="14">
        <v>400.8753441912674</v>
      </c>
      <c r="AD70" s="14">
        <v>158.08883218892464</v>
      </c>
      <c r="AE70" s="14">
        <v>261.66327348392707</v>
      </c>
      <c r="AF70" s="14">
        <v>49.119773790439623</v>
      </c>
      <c r="AG70" s="14">
        <v>14.94642584695565</v>
      </c>
      <c r="AH70" s="14">
        <v>41.533860577863521</v>
      </c>
      <c r="AI70" s="14">
        <v>359.98010702191755</v>
      </c>
      <c r="AJ70" s="14">
        <v>28.465845272181483</v>
      </c>
      <c r="AK70" s="14">
        <v>692.88051370505013</v>
      </c>
      <c r="AL70" s="14">
        <v>248.31876809017911</v>
      </c>
      <c r="AM70" s="14">
        <v>137.55897568377145</v>
      </c>
      <c r="AN70" s="14">
        <v>21.719050908644423</v>
      </c>
      <c r="AO70" s="14">
        <v>46.890681844482543</v>
      </c>
      <c r="AP70" s="14">
        <v>225.48927563974226</v>
      </c>
      <c r="AQ70" s="14">
        <v>610.54932312601363</v>
      </c>
      <c r="AR70" s="14">
        <v>148.95145360854951</v>
      </c>
      <c r="AS70" s="14">
        <v>4.3229493968182924</v>
      </c>
      <c r="AT70" s="14">
        <v>8.0198964912579225</v>
      </c>
      <c r="AU70" s="14">
        <v>631.68953155778354</v>
      </c>
      <c r="AV70" s="14">
        <v>6.3718703737017055</v>
      </c>
      <c r="AW70" s="14">
        <v>1393.4814935423647</v>
      </c>
      <c r="AX70" s="14">
        <v>172.81078497833698</v>
      </c>
      <c r="AY70" s="14">
        <v>132.85148461950425</v>
      </c>
      <c r="AZ70" s="14">
        <v>265.13159112506423</v>
      </c>
      <c r="BA70" s="14">
        <v>265.4205991804684</v>
      </c>
      <c r="BB70" s="14">
        <v>660.4392487403843</v>
      </c>
      <c r="BC70" s="14">
        <v>281.89458297166209</v>
      </c>
      <c r="BD70" s="14">
        <v>168.31638100442862</v>
      </c>
      <c r="BE70" s="14">
        <v>226.09803730184649</v>
      </c>
      <c r="BF70" s="14">
        <v>271.01846464168926</v>
      </c>
      <c r="BG70" s="14">
        <v>21.734437556195012</v>
      </c>
      <c r="BH70" s="14">
        <v>2450.4305678879387</v>
      </c>
      <c r="BI70" s="14">
        <v>146.49781896871116</v>
      </c>
      <c r="BJ70" s="14">
        <v>215.70720426254664</v>
      </c>
      <c r="BK70" s="14">
        <v>44.880993211542673</v>
      </c>
      <c r="BL70" s="14">
        <v>780.73937954319615</v>
      </c>
      <c r="BM70" s="14">
        <v>1157.6504097239056</v>
      </c>
      <c r="BN70" s="14">
        <v>264.86799113957233</v>
      </c>
      <c r="BO70" s="14">
        <v>15.418266774230201</v>
      </c>
      <c r="BP70" s="1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</row>
    <row r="71" spans="1:100" customFormat="1">
      <c r="A71" s="20" t="s">
        <v>9</v>
      </c>
      <c r="B71" s="21" t="s">
        <v>6</v>
      </c>
      <c r="C71" s="14">
        <v>1330.7550963997467</v>
      </c>
      <c r="D71" s="14">
        <v>831.2606813182274</v>
      </c>
      <c r="E71" s="14">
        <v>4192.6284118317553</v>
      </c>
      <c r="F71" s="14">
        <v>3541.7299893018949</v>
      </c>
      <c r="G71" s="14">
        <v>5283.3784996236918</v>
      </c>
      <c r="H71" s="14">
        <v>2601.7670913092261</v>
      </c>
      <c r="I71" s="14">
        <v>3368.9671902999057</v>
      </c>
      <c r="J71" s="14">
        <v>4683.1366931637094</v>
      </c>
      <c r="K71" s="14">
        <v>714.91865550697457</v>
      </c>
      <c r="L71" s="14">
        <v>980.02951565728574</v>
      </c>
      <c r="M71" s="14">
        <v>763.16776715225728</v>
      </c>
      <c r="N71" s="14">
        <v>47.954752333986519</v>
      </c>
      <c r="O71" s="14">
        <v>67.733321849936075</v>
      </c>
      <c r="P71" s="14">
        <v>48.97135662527846</v>
      </c>
      <c r="Q71" s="14">
        <v>119.73701765599664</v>
      </c>
      <c r="R71" s="14">
        <v>10.859117524039544</v>
      </c>
      <c r="S71" s="14">
        <v>1215.315548416022</v>
      </c>
      <c r="T71" s="14">
        <v>69.146905084528129</v>
      </c>
      <c r="U71" s="14">
        <v>5399.6739720561154</v>
      </c>
      <c r="V71" s="14">
        <v>5537.8320618420057</v>
      </c>
      <c r="W71" s="14">
        <v>435.7793592173706</v>
      </c>
      <c r="X71" s="14">
        <v>899.35479529278746</v>
      </c>
      <c r="Y71" s="14">
        <v>3004.9338421079246</v>
      </c>
      <c r="Z71" s="14">
        <v>38.404592583327059</v>
      </c>
      <c r="AA71" s="14">
        <v>1238.2668470463007</v>
      </c>
      <c r="AB71" s="14">
        <v>184.47592045133405</v>
      </c>
      <c r="AC71" s="14">
        <v>1439.9483314499967</v>
      </c>
      <c r="AD71" s="14">
        <v>5.6470263772868137</v>
      </c>
      <c r="AE71" s="14">
        <v>2498.7766611853281</v>
      </c>
      <c r="AF71" s="14">
        <v>21.082605609122449</v>
      </c>
      <c r="AG71" s="14">
        <v>116.00307401108277</v>
      </c>
      <c r="AH71" s="14">
        <v>0.54463495070659884</v>
      </c>
      <c r="AI71" s="14">
        <v>585.75245927571768</v>
      </c>
      <c r="AJ71" s="14">
        <v>56.239355014155493</v>
      </c>
      <c r="AK71" s="14">
        <v>324.43157267929246</v>
      </c>
      <c r="AL71" s="14">
        <v>611.7329527995372</v>
      </c>
      <c r="AM71" s="14">
        <v>318.58266324932998</v>
      </c>
      <c r="AN71" s="14">
        <v>528.37193259726348</v>
      </c>
      <c r="AO71" s="14">
        <v>19.724330912928945</v>
      </c>
      <c r="AP71" s="14">
        <v>110.12522517891344</v>
      </c>
      <c r="AQ71" s="14">
        <v>17.154084835681257</v>
      </c>
      <c r="AR71" s="14">
        <v>17.169137931265915</v>
      </c>
      <c r="AS71" s="14">
        <v>422.46630781994173</v>
      </c>
      <c r="AT71" s="14">
        <v>61.4571371081542</v>
      </c>
      <c r="AU71" s="14">
        <v>1017.8822714832712</v>
      </c>
      <c r="AV71" s="14">
        <v>2.6858354740058261</v>
      </c>
      <c r="AW71" s="14">
        <v>276.92137004449887</v>
      </c>
      <c r="AX71" s="14">
        <v>14.558190939628373</v>
      </c>
      <c r="AY71" s="14">
        <v>159.49021195402236</v>
      </c>
      <c r="AZ71" s="14">
        <v>473.36035017463593</v>
      </c>
      <c r="BA71" s="14">
        <v>2654.8249150725264</v>
      </c>
      <c r="BB71" s="14">
        <v>1252.7458893053372</v>
      </c>
      <c r="BC71" s="14">
        <v>1069.0961027838507</v>
      </c>
      <c r="BD71" s="14">
        <v>284.45155729051407</v>
      </c>
      <c r="BE71" s="14">
        <v>516.85180162243444</v>
      </c>
      <c r="BF71" s="14">
        <v>714.59629596753371</v>
      </c>
      <c r="BG71" s="14">
        <v>157.29312674452368</v>
      </c>
      <c r="BH71" s="14">
        <v>1115.2859136224024</v>
      </c>
      <c r="BI71" s="14">
        <v>676.59130716704954</v>
      </c>
      <c r="BJ71" s="14">
        <v>1475.8973640583849</v>
      </c>
      <c r="BK71" s="14">
        <v>440.47168949814858</v>
      </c>
      <c r="BL71" s="14">
        <v>1030.5458215054146</v>
      </c>
      <c r="BM71" s="14">
        <v>1342.983614101192</v>
      </c>
      <c r="BN71" s="14">
        <v>548.51404677865094</v>
      </c>
      <c r="BO71" s="14">
        <v>254.70733855776771</v>
      </c>
      <c r="BP71" s="1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</row>
    <row r="72" spans="1:100" customFormat="1">
      <c r="A72" s="20" t="s">
        <v>10</v>
      </c>
      <c r="B72" s="21" t="s">
        <v>6</v>
      </c>
      <c r="C72" s="14">
        <v>6876.6724101143191</v>
      </c>
      <c r="D72" s="14">
        <v>2388.3107430220157</v>
      </c>
      <c r="E72" s="14">
        <v>3368.9326631199519</v>
      </c>
      <c r="F72" s="14">
        <v>2962.5178690533689</v>
      </c>
      <c r="G72" s="14">
        <v>1910.7993628952413</v>
      </c>
      <c r="H72" s="14">
        <v>781.64791650137522</v>
      </c>
      <c r="I72" s="14">
        <v>1109.0609294059484</v>
      </c>
      <c r="J72" s="14">
        <v>2259.4006516260706</v>
      </c>
      <c r="K72" s="14">
        <v>525.69374283377761</v>
      </c>
      <c r="L72" s="14">
        <v>8148.4858661950102</v>
      </c>
      <c r="M72" s="14">
        <v>7527.9258779713446</v>
      </c>
      <c r="N72" s="14">
        <v>52.087932635598087</v>
      </c>
      <c r="O72" s="14">
        <v>558.29719134596371</v>
      </c>
      <c r="P72" s="14">
        <v>4044.00782758793</v>
      </c>
      <c r="Q72" s="14">
        <v>3116.0490728097911</v>
      </c>
      <c r="R72" s="14">
        <v>499.31811364965324</v>
      </c>
      <c r="S72" s="14">
        <v>8886.8838374280076</v>
      </c>
      <c r="T72" s="14">
        <v>109.45487932077459</v>
      </c>
      <c r="U72" s="14">
        <v>6640.4782895281778</v>
      </c>
      <c r="V72" s="14">
        <v>15973.922114987728</v>
      </c>
      <c r="W72" s="14">
        <v>511.43743212120347</v>
      </c>
      <c r="X72" s="14">
        <v>588.25218587198162</v>
      </c>
      <c r="Y72" s="14">
        <v>2186.2848921220093</v>
      </c>
      <c r="Z72" s="14">
        <v>73.583157013630142</v>
      </c>
      <c r="AA72" s="14">
        <v>687.24167132018226</v>
      </c>
      <c r="AB72" s="14">
        <v>144.91483138410436</v>
      </c>
      <c r="AC72" s="14">
        <v>379.11858474346542</v>
      </c>
      <c r="AD72" s="14">
        <v>142.42600558661167</v>
      </c>
      <c r="AE72" s="14">
        <v>977.5315189519107</v>
      </c>
      <c r="AF72" s="14">
        <v>124.05608758295818</v>
      </c>
      <c r="AG72" s="14">
        <v>41.234955489722552</v>
      </c>
      <c r="AH72" s="14">
        <v>531.38644382235873</v>
      </c>
      <c r="AI72" s="14">
        <v>875.27089179402446</v>
      </c>
      <c r="AJ72" s="14">
        <v>69.585880643146623</v>
      </c>
      <c r="AK72" s="14">
        <v>2954.8157553047404</v>
      </c>
      <c r="AL72" s="14">
        <v>1117.9019041174952</v>
      </c>
      <c r="AM72" s="14">
        <v>405.00390439084003</v>
      </c>
      <c r="AN72" s="14">
        <v>272.57576393952723</v>
      </c>
      <c r="AO72" s="14">
        <v>3479.2399078084904</v>
      </c>
      <c r="AP72" s="14">
        <v>3065.4131794833625</v>
      </c>
      <c r="AQ72" s="14">
        <v>2533.9975656405586</v>
      </c>
      <c r="AR72" s="14">
        <v>2304.1770299871828</v>
      </c>
      <c r="AS72" s="14">
        <v>857.77761010268057</v>
      </c>
      <c r="AT72" s="14">
        <v>149.48429059681939</v>
      </c>
      <c r="AU72" s="14">
        <v>1529.8650667162676</v>
      </c>
      <c r="AV72" s="14">
        <v>58.914499694667718</v>
      </c>
      <c r="AW72" s="14">
        <v>365.31315183927165</v>
      </c>
      <c r="AX72" s="14">
        <v>3.312101217825139</v>
      </c>
      <c r="AY72" s="14">
        <v>711.81307019090252</v>
      </c>
      <c r="AZ72" s="14">
        <v>21.706784390160035</v>
      </c>
      <c r="BA72" s="14">
        <v>713.17722167929469</v>
      </c>
      <c r="BB72" s="14">
        <v>769.3201790462582</v>
      </c>
      <c r="BC72" s="14">
        <v>1007.5282907024471</v>
      </c>
      <c r="BD72" s="14">
        <v>57.010321694210766</v>
      </c>
      <c r="BE72" s="14">
        <v>388.83189691827818</v>
      </c>
      <c r="BF72" s="14">
        <v>26.456290972321959</v>
      </c>
      <c r="BG72" s="14">
        <v>1.3173505425863503</v>
      </c>
      <c r="BH72" s="14">
        <v>291.31435000411011</v>
      </c>
      <c r="BI72" s="14">
        <v>145.71909934038314</v>
      </c>
      <c r="BJ72" s="14">
        <v>14.06235872391022</v>
      </c>
      <c r="BK72" s="14">
        <v>0.64780656994614905</v>
      </c>
      <c r="BL72" s="14">
        <v>565.02626157846407</v>
      </c>
      <c r="BM72" s="14">
        <v>94.557154466676081</v>
      </c>
      <c r="BN72" s="14">
        <v>94.611356518904074</v>
      </c>
      <c r="BO72" s="14">
        <v>9.7217381252681712</v>
      </c>
      <c r="BP72" s="1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</row>
    <row r="73" spans="1:100" customFormat="1">
      <c r="A73" s="20" t="s">
        <v>10</v>
      </c>
      <c r="B73" s="21" t="s">
        <v>8</v>
      </c>
      <c r="C73" s="14">
        <v>13801.919551319881</v>
      </c>
      <c r="D73" s="14">
        <v>2275.1912080086663</v>
      </c>
      <c r="E73" s="14">
        <v>6209.2799298247955</v>
      </c>
      <c r="F73" s="14">
        <v>9911.2042816466364</v>
      </c>
      <c r="G73" s="14">
        <v>14463.156937557658</v>
      </c>
      <c r="H73" s="14">
        <v>9014.0721289770845</v>
      </c>
      <c r="I73" s="14">
        <v>3260.9630829793141</v>
      </c>
      <c r="J73" s="14">
        <v>4867.0271739091422</v>
      </c>
      <c r="K73" s="14">
        <v>1987.3872586901655</v>
      </c>
      <c r="L73" s="14">
        <v>8773.7721825875997</v>
      </c>
      <c r="M73" s="14">
        <v>3756.3224164417779</v>
      </c>
      <c r="N73" s="14">
        <v>210.05274619034208</v>
      </c>
      <c r="O73" s="14">
        <v>503.6432635747363</v>
      </c>
      <c r="P73" s="14">
        <v>4421.0398670423019</v>
      </c>
      <c r="Q73" s="14">
        <v>23613.498485261309</v>
      </c>
      <c r="R73" s="14">
        <v>7992.495438697355</v>
      </c>
      <c r="S73" s="14">
        <v>50499.554896621608</v>
      </c>
      <c r="T73" s="14">
        <v>2859.0498241757377</v>
      </c>
      <c r="U73" s="14">
        <v>29204.326682767038</v>
      </c>
      <c r="V73" s="14">
        <v>60908.955045593066</v>
      </c>
      <c r="W73" s="14">
        <v>4111.0425211738293</v>
      </c>
      <c r="X73" s="14">
        <v>6608.7283288404924</v>
      </c>
      <c r="Y73" s="14">
        <v>5439.4928278054167</v>
      </c>
      <c r="Z73" s="14">
        <v>2870.9075904017836</v>
      </c>
      <c r="AA73" s="14">
        <v>9240.0292615484032</v>
      </c>
      <c r="AB73" s="14">
        <v>622.90000491657349</v>
      </c>
      <c r="AC73" s="14">
        <v>4427.5910512524115</v>
      </c>
      <c r="AD73" s="14">
        <v>592.55807622821339</v>
      </c>
      <c r="AE73" s="14">
        <v>24505.234701357233</v>
      </c>
      <c r="AF73" s="14">
        <v>649.33550121673591</v>
      </c>
      <c r="AG73" s="14">
        <v>404.81368419557629</v>
      </c>
      <c r="AH73" s="14">
        <v>4176.9451123685858</v>
      </c>
      <c r="AI73" s="14">
        <v>12750.874011125719</v>
      </c>
      <c r="AJ73" s="14">
        <v>726.15178955816305</v>
      </c>
      <c r="AK73" s="14">
        <v>40414.05977245907</v>
      </c>
      <c r="AL73" s="14">
        <v>1925.7704721937021</v>
      </c>
      <c r="AM73" s="14">
        <v>47238.01243663059</v>
      </c>
      <c r="AN73" s="14">
        <v>1368.2532008089138</v>
      </c>
      <c r="AO73" s="14">
        <v>11417.407817056552</v>
      </c>
      <c r="AP73" s="14">
        <v>3001.5228889968566</v>
      </c>
      <c r="AQ73" s="14">
        <v>2881.5642538666898</v>
      </c>
      <c r="AR73" s="14">
        <v>3287.3172524807237</v>
      </c>
      <c r="AS73" s="14">
        <v>701.89866374426151</v>
      </c>
      <c r="AT73" s="14">
        <v>400.71982555141687</v>
      </c>
      <c r="AU73" s="14">
        <v>13776.633781397974</v>
      </c>
      <c r="AV73" s="14">
        <v>355.09904149137878</v>
      </c>
      <c r="AW73" s="14">
        <v>510.58423304587427</v>
      </c>
      <c r="AX73" s="14">
        <v>3973.3678369807403</v>
      </c>
      <c r="AY73" s="14">
        <v>7216.513163854408</v>
      </c>
      <c r="AZ73" s="14">
        <v>3706.9943116977429</v>
      </c>
      <c r="BA73" s="14">
        <v>3763.589264057845</v>
      </c>
      <c r="BB73" s="14">
        <v>5884.3484607509572</v>
      </c>
      <c r="BC73" s="14">
        <v>1942.2865612770026</v>
      </c>
      <c r="BD73" s="14">
        <v>4123.0708330432981</v>
      </c>
      <c r="BE73" s="14">
        <v>2445.595217809223</v>
      </c>
      <c r="BF73" s="14">
        <v>6822.4267575607273</v>
      </c>
      <c r="BG73" s="14">
        <v>199.0649277273825</v>
      </c>
      <c r="BH73" s="14">
        <v>14275.396486558831</v>
      </c>
      <c r="BI73" s="14">
        <v>2956.4438068274167</v>
      </c>
      <c r="BJ73" s="14">
        <v>3103.6863054749565</v>
      </c>
      <c r="BK73" s="14">
        <v>1609.0481821253356</v>
      </c>
      <c r="BL73" s="14">
        <v>2680.3442728781934</v>
      </c>
      <c r="BM73" s="14">
        <v>3147.7176174311962</v>
      </c>
      <c r="BN73" s="14">
        <v>1341.3195239130059</v>
      </c>
      <c r="BO73" s="14">
        <v>558.9332826239571</v>
      </c>
      <c r="BP73" s="1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</row>
    <row r="74" spans="1:100" customFormat="1">
      <c r="A74" s="20" t="s">
        <v>11</v>
      </c>
      <c r="B74" s="21" t="s">
        <v>8</v>
      </c>
      <c r="C74" s="14">
        <v>18025.000179708164</v>
      </c>
      <c r="D74" s="14">
        <v>5354.7005979340811</v>
      </c>
      <c r="E74" s="14">
        <v>4538.6747868771727</v>
      </c>
      <c r="F74" s="14">
        <v>24413.926470173541</v>
      </c>
      <c r="G74" s="14">
        <v>11297.97107424034</v>
      </c>
      <c r="H74" s="14">
        <v>8062.534518396229</v>
      </c>
      <c r="I74" s="14">
        <v>3992.5101031518711</v>
      </c>
      <c r="J74" s="14">
        <v>3142.6009586017631</v>
      </c>
      <c r="K74" s="14">
        <v>1324.3353277488236</v>
      </c>
      <c r="L74" s="14">
        <v>3561.7642369854702</v>
      </c>
      <c r="M74" s="14">
        <v>2854.2206398126432</v>
      </c>
      <c r="N74" s="14">
        <v>137.79168224500421</v>
      </c>
      <c r="O74" s="14">
        <v>441.82378698499042</v>
      </c>
      <c r="P74" s="14">
        <v>2210.7113793015205</v>
      </c>
      <c r="Q74" s="14">
        <v>7116.5916759914417</v>
      </c>
      <c r="R74" s="14">
        <v>3694.7191722830094</v>
      </c>
      <c r="S74" s="14">
        <v>5807.644485535262</v>
      </c>
      <c r="T74" s="14">
        <v>829.86536277047071</v>
      </c>
      <c r="U74" s="14">
        <v>90831.263022182393</v>
      </c>
      <c r="V74" s="14">
        <v>40229.759603339502</v>
      </c>
      <c r="W74" s="14">
        <v>7760.4934656788027</v>
      </c>
      <c r="X74" s="14">
        <v>2957.9972354802721</v>
      </c>
      <c r="Y74" s="14">
        <v>11199.248987907204</v>
      </c>
      <c r="Z74" s="14">
        <v>8311.4292027258507</v>
      </c>
      <c r="AA74" s="14">
        <v>105112.15213736912</v>
      </c>
      <c r="AB74" s="14">
        <v>2444.2020527834352</v>
      </c>
      <c r="AC74" s="14">
        <v>50938.299763491181</v>
      </c>
      <c r="AD74" s="14">
        <v>4987.5971028149706</v>
      </c>
      <c r="AE74" s="14">
        <v>125521.82813909843</v>
      </c>
      <c r="AF74" s="14">
        <v>4230.6433886214281</v>
      </c>
      <c r="AG74" s="14">
        <v>2478.8223614160229</v>
      </c>
      <c r="AH74" s="14">
        <v>8506.6395361094601</v>
      </c>
      <c r="AI74" s="14">
        <v>113553.11751931962</v>
      </c>
      <c r="AJ74" s="14">
        <v>3779.3176800177239</v>
      </c>
      <c r="AK74" s="14">
        <v>70913.211082467897</v>
      </c>
      <c r="AL74" s="14">
        <v>8583.9922768490287</v>
      </c>
      <c r="AM74" s="14">
        <v>6657.2091951889397</v>
      </c>
      <c r="AN74" s="14">
        <v>5730.3195172078986</v>
      </c>
      <c r="AO74" s="14">
        <v>100808.48320225171</v>
      </c>
      <c r="AP74" s="14">
        <v>86288.914357194197</v>
      </c>
      <c r="AQ74" s="14">
        <v>53050.72262309114</v>
      </c>
      <c r="AR74" s="14">
        <v>18091.500119086082</v>
      </c>
      <c r="AS74" s="14">
        <v>3529.7858592043649</v>
      </c>
      <c r="AT74" s="14">
        <v>2186.2567058682457</v>
      </c>
      <c r="AU74" s="14">
        <v>9976.8890077648521</v>
      </c>
      <c r="AV74" s="14">
        <v>642.60328638533792</v>
      </c>
      <c r="AW74" s="14">
        <v>2466.165057908363</v>
      </c>
      <c r="AX74" s="14">
        <v>4636.9976984753675</v>
      </c>
      <c r="AY74" s="14">
        <v>12765.219417294831</v>
      </c>
      <c r="AZ74" s="14">
        <v>10549.110901166463</v>
      </c>
      <c r="BA74" s="14">
        <v>420.77607398799989</v>
      </c>
      <c r="BB74" s="14">
        <v>31138.601828454954</v>
      </c>
      <c r="BC74" s="14">
        <v>20409.397881513018</v>
      </c>
      <c r="BD74" s="14">
        <v>109.72065056233451</v>
      </c>
      <c r="BE74" s="14">
        <v>10295.403677674505</v>
      </c>
      <c r="BF74" s="14">
        <v>16377.440845022342</v>
      </c>
      <c r="BG74" s="14">
        <v>2030.6830405338042</v>
      </c>
      <c r="BH74" s="14">
        <v>16980.629549636265</v>
      </c>
      <c r="BI74" s="14">
        <v>13080.868313579414</v>
      </c>
      <c r="BJ74" s="14">
        <v>22825.89300092966</v>
      </c>
      <c r="BK74" s="14">
        <v>9679.2381166719642</v>
      </c>
      <c r="BL74" s="14">
        <v>14457.757725726999</v>
      </c>
      <c r="BM74" s="14">
        <v>33734.414109632882</v>
      </c>
      <c r="BN74" s="14">
        <v>10087.700762677363</v>
      </c>
      <c r="BO74" s="14">
        <v>2647.9938215689785</v>
      </c>
      <c r="BP74" s="1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</row>
    <row r="75" spans="1:100" customFormat="1">
      <c r="A75" s="20" t="s">
        <v>12</v>
      </c>
      <c r="B75" s="21" t="s">
        <v>8</v>
      </c>
      <c r="C75" s="14">
        <v>20266.578396670255</v>
      </c>
      <c r="D75" s="14">
        <v>2474.1845813201662</v>
      </c>
      <c r="E75" s="14">
        <v>2936.3873820712411</v>
      </c>
      <c r="F75" s="14">
        <v>2394.1511508179178</v>
      </c>
      <c r="G75" s="14">
        <v>15980.827559029662</v>
      </c>
      <c r="H75" s="14">
        <v>4347.9499685634</v>
      </c>
      <c r="I75" s="14">
        <v>2009.985106349247</v>
      </c>
      <c r="J75" s="14">
        <v>1856.6727529373175</v>
      </c>
      <c r="K75" s="14">
        <v>668.73031946659466</v>
      </c>
      <c r="L75" s="14">
        <v>2861.1373578222829</v>
      </c>
      <c r="M75" s="14">
        <v>895.66079995515338</v>
      </c>
      <c r="N75" s="14">
        <v>153.96605915620202</v>
      </c>
      <c r="O75" s="14">
        <v>227.8397059873696</v>
      </c>
      <c r="P75" s="14">
        <v>1859.1394853857723</v>
      </c>
      <c r="Q75" s="14">
        <v>7413.0031247124462</v>
      </c>
      <c r="R75" s="14">
        <v>4136.3377887144843</v>
      </c>
      <c r="S75" s="14">
        <v>4390.7606973252468</v>
      </c>
      <c r="T75" s="14">
        <v>938.48622548092976</v>
      </c>
      <c r="U75" s="14">
        <v>14008.972198759826</v>
      </c>
      <c r="V75" s="14">
        <v>18168.202103856369</v>
      </c>
      <c r="W75" s="14">
        <v>1556.5466249258402</v>
      </c>
      <c r="X75" s="14">
        <v>5102.1928899149198</v>
      </c>
      <c r="Y75" s="14">
        <v>6114.3050475128821</v>
      </c>
      <c r="Z75" s="14">
        <v>814.56724302748137</v>
      </c>
      <c r="AA75" s="14">
        <v>5124.6956515259662</v>
      </c>
      <c r="AB75" s="14">
        <v>333.12956942276145</v>
      </c>
      <c r="AC75" s="14">
        <v>3252.2459879631365</v>
      </c>
      <c r="AD75" s="14">
        <v>657.37757447158799</v>
      </c>
      <c r="AE75" s="14">
        <v>4070.3169670778334</v>
      </c>
      <c r="AF75" s="14">
        <v>536.74806261628714</v>
      </c>
      <c r="AG75" s="14">
        <v>359.38031710051581</v>
      </c>
      <c r="AH75" s="14">
        <v>1187.7809933448129</v>
      </c>
      <c r="AI75" s="14">
        <v>3352.4077289402999</v>
      </c>
      <c r="AJ75" s="14">
        <v>143.2292164440513</v>
      </c>
      <c r="AK75" s="14">
        <v>1644.4088670980091</v>
      </c>
      <c r="AL75" s="14">
        <v>893.30734021336195</v>
      </c>
      <c r="AM75" s="14">
        <v>296.2415416591179</v>
      </c>
      <c r="AN75" s="14">
        <v>237.72071800165259</v>
      </c>
      <c r="AO75" s="14">
        <v>8766.4603353422644</v>
      </c>
      <c r="AP75" s="14">
        <v>7626.0688554692715</v>
      </c>
      <c r="AQ75" s="14">
        <v>2820.5584163943404</v>
      </c>
      <c r="AR75" s="14">
        <v>656.57553922803777</v>
      </c>
      <c r="AS75" s="14">
        <v>332.12225822979485</v>
      </c>
      <c r="AT75" s="14">
        <v>210.39021142522199</v>
      </c>
      <c r="AU75" s="14">
        <v>2816.1851527318913</v>
      </c>
      <c r="AV75" s="14">
        <v>189.20889306865925</v>
      </c>
      <c r="AW75" s="14">
        <v>254.82492254146325</v>
      </c>
      <c r="AX75" s="14">
        <v>289.89088814231718</v>
      </c>
      <c r="AY75" s="14">
        <v>1093.7821722676481</v>
      </c>
      <c r="AZ75" s="14">
        <v>3856.7070007525563</v>
      </c>
      <c r="BA75" s="14">
        <v>5183.894274070959</v>
      </c>
      <c r="BB75" s="14">
        <v>5617.3733533116738</v>
      </c>
      <c r="BC75" s="14">
        <v>3826.6962461880221</v>
      </c>
      <c r="BD75" s="14">
        <v>538.41342089028751</v>
      </c>
      <c r="BE75" s="14">
        <v>409.5041976130093</v>
      </c>
      <c r="BF75" s="14">
        <v>828.71641445619787</v>
      </c>
      <c r="BG75" s="14">
        <v>63.177093900262015</v>
      </c>
      <c r="BH75" s="14">
        <v>2442.3317764480448</v>
      </c>
      <c r="BI75" s="14">
        <v>1219.7844574610178</v>
      </c>
      <c r="BJ75" s="14">
        <v>1046.9086651518919</v>
      </c>
      <c r="BK75" s="14">
        <v>2082.2843144137869</v>
      </c>
      <c r="BL75" s="14">
        <v>2561.2782556513007</v>
      </c>
      <c r="BM75" s="14">
        <v>3480.0081557243325</v>
      </c>
      <c r="BN75" s="14">
        <v>995.34963080905641</v>
      </c>
      <c r="BO75" s="14">
        <v>259.9738236494801</v>
      </c>
      <c r="BP75" s="1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</row>
    <row r="76" spans="1:100" customFormat="1">
      <c r="A76" s="20" t="s">
        <v>12</v>
      </c>
      <c r="B76" s="21" t="s">
        <v>13</v>
      </c>
      <c r="C76" s="14">
        <v>305764.37681540853</v>
      </c>
      <c r="D76" s="14">
        <v>112384.6664903991</v>
      </c>
      <c r="E76" s="14">
        <v>105572.57365402156</v>
      </c>
      <c r="F76" s="14">
        <v>51337.395591606532</v>
      </c>
      <c r="G76" s="14">
        <v>182871.4555797129</v>
      </c>
      <c r="H76" s="14">
        <v>153646.60680341767</v>
      </c>
      <c r="I76" s="14">
        <v>163420.47230753541</v>
      </c>
      <c r="J76" s="14">
        <v>48290.918960824922</v>
      </c>
      <c r="K76" s="14">
        <v>31261.521388491939</v>
      </c>
      <c r="L76" s="14">
        <v>85076.527363090805</v>
      </c>
      <c r="M76" s="14">
        <v>16686.767650549562</v>
      </c>
      <c r="N76" s="14">
        <v>2340.446452241426</v>
      </c>
      <c r="O76" s="14">
        <v>5857.6559002036984</v>
      </c>
      <c r="P76" s="14">
        <v>28887.799680249904</v>
      </c>
      <c r="Q76" s="14">
        <v>156533.70963599734</v>
      </c>
      <c r="R76" s="14">
        <v>138201.06883688123</v>
      </c>
      <c r="S76" s="14">
        <v>201568.06847955319</v>
      </c>
      <c r="T76" s="14">
        <v>30269.500803991916</v>
      </c>
      <c r="U76" s="14">
        <v>332187.84192705684</v>
      </c>
      <c r="V76" s="14">
        <v>699067.7868233521</v>
      </c>
      <c r="W76" s="14">
        <v>73405.73237340663</v>
      </c>
      <c r="X76" s="14">
        <v>156034.84309192721</v>
      </c>
      <c r="Y76" s="14">
        <v>269740.58840015426</v>
      </c>
      <c r="Z76" s="14">
        <v>21535.722393335753</v>
      </c>
      <c r="AA76" s="14">
        <v>371416.78197123838</v>
      </c>
      <c r="AB76" s="14">
        <v>22723.493475818806</v>
      </c>
      <c r="AC76" s="14">
        <v>204313.47233061594</v>
      </c>
      <c r="AD76" s="14">
        <v>65914.7040548675</v>
      </c>
      <c r="AE76" s="14">
        <v>453871.25063408882</v>
      </c>
      <c r="AF76" s="14">
        <v>118970.77092566443</v>
      </c>
      <c r="AG76" s="14">
        <v>134661.42144666094</v>
      </c>
      <c r="AH76" s="14">
        <v>558070.78752912791</v>
      </c>
      <c r="AI76" s="14">
        <v>711114.85322777007</v>
      </c>
      <c r="AJ76" s="14">
        <v>280524.2318507079</v>
      </c>
      <c r="AK76" s="14">
        <v>263233.47590048355</v>
      </c>
      <c r="AL76" s="14">
        <v>191623.25951927691</v>
      </c>
      <c r="AM76" s="14">
        <v>357012.32625310624</v>
      </c>
      <c r="AN76" s="14">
        <v>227818.56969842358</v>
      </c>
      <c r="AO76" s="14">
        <v>724729.67363930133</v>
      </c>
      <c r="AP76" s="14">
        <v>691895.42697891674</v>
      </c>
      <c r="AQ76" s="14">
        <v>784934.82478272531</v>
      </c>
      <c r="AR76" s="14">
        <v>110537.48384797861</v>
      </c>
      <c r="AS76" s="14">
        <v>27282.861479196625</v>
      </c>
      <c r="AT76" s="14">
        <v>30135.599092697215</v>
      </c>
      <c r="AU76" s="14">
        <v>1458823.8056181355</v>
      </c>
      <c r="AV76" s="14">
        <v>25039.137514189115</v>
      </c>
      <c r="AW76" s="14">
        <v>28578.670566463505</v>
      </c>
      <c r="AX76" s="14">
        <v>89970.065238828334</v>
      </c>
      <c r="AY76" s="14">
        <v>346206.45818287134</v>
      </c>
      <c r="AZ76" s="14">
        <v>184534.37002758251</v>
      </c>
      <c r="BA76" s="14">
        <v>308644.67372749501</v>
      </c>
      <c r="BB76" s="14">
        <v>228016.56680877227</v>
      </c>
      <c r="BC76" s="14">
        <v>287838.67585427623</v>
      </c>
      <c r="BD76" s="14">
        <v>77375.86229790264</v>
      </c>
      <c r="BE76" s="14">
        <v>47258.54391322819</v>
      </c>
      <c r="BF76" s="14">
        <v>92281.065892552142</v>
      </c>
      <c r="BG76" s="14">
        <v>6533.1490013083367</v>
      </c>
      <c r="BH76" s="14">
        <v>603400.61592835502</v>
      </c>
      <c r="BI76" s="14">
        <v>51957.273212057007</v>
      </c>
      <c r="BJ76" s="14">
        <v>82631.273954261356</v>
      </c>
      <c r="BK76" s="14">
        <v>26293.289334204019</v>
      </c>
      <c r="BL76" s="14">
        <v>63629.216738394622</v>
      </c>
      <c r="BM76" s="14">
        <v>322952.11236689449</v>
      </c>
      <c r="BN76" s="14">
        <v>29339.042516283916</v>
      </c>
      <c r="BO76" s="14">
        <v>5976.2608663874162</v>
      </c>
      <c r="BP76" s="1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</row>
    <row r="77" spans="1:100" customFormat="1">
      <c r="A77" s="20" t="s">
        <v>12</v>
      </c>
      <c r="B77" s="21" t="s">
        <v>14</v>
      </c>
      <c r="C77" s="14">
        <v>79473.634965477249</v>
      </c>
      <c r="D77" s="14">
        <v>24757.707252148299</v>
      </c>
      <c r="E77" s="14">
        <v>44220.056531633083</v>
      </c>
      <c r="F77" s="14">
        <v>24635.482465213692</v>
      </c>
      <c r="G77" s="14">
        <v>29062.813303597395</v>
      </c>
      <c r="H77" s="14">
        <v>43142.798206651285</v>
      </c>
      <c r="I77" s="14">
        <v>23048.545078353985</v>
      </c>
      <c r="J77" s="14">
        <v>14292.499062556099</v>
      </c>
      <c r="K77" s="14">
        <v>6152.7471444545554</v>
      </c>
      <c r="L77" s="14">
        <v>7996.9159040769973</v>
      </c>
      <c r="M77" s="14">
        <v>4182.3498754672601</v>
      </c>
      <c r="N77" s="14">
        <v>1370.8575474042295</v>
      </c>
      <c r="O77" s="14">
        <v>1743.3596087750466</v>
      </c>
      <c r="P77" s="14">
        <v>3266.2195911368954</v>
      </c>
      <c r="Q77" s="14">
        <v>27094.328585303971</v>
      </c>
      <c r="R77" s="14">
        <v>12765.5935732584</v>
      </c>
      <c r="S77" s="14">
        <v>16241.17621872318</v>
      </c>
      <c r="T77" s="14">
        <v>6329.8416472862773</v>
      </c>
      <c r="U77" s="14">
        <v>63338.262761191836</v>
      </c>
      <c r="V77" s="14">
        <v>13646.344992531351</v>
      </c>
      <c r="W77" s="14">
        <v>6280.6030861550871</v>
      </c>
      <c r="X77" s="14">
        <v>12293.724007238943</v>
      </c>
      <c r="Y77" s="14">
        <v>13777.439346500021</v>
      </c>
      <c r="Z77" s="14">
        <v>8667.2331146606975</v>
      </c>
      <c r="AA77" s="14">
        <v>13824.785578762507</v>
      </c>
      <c r="AB77" s="14">
        <v>1536.1984080391442</v>
      </c>
      <c r="AC77" s="14">
        <v>11782.696818150263</v>
      </c>
      <c r="AD77" s="14">
        <v>6830.1254199191362</v>
      </c>
      <c r="AE77" s="14">
        <v>21666.248746877325</v>
      </c>
      <c r="AF77" s="14">
        <v>6442.0734238983878</v>
      </c>
      <c r="AG77" s="14">
        <v>4376.6401583817305</v>
      </c>
      <c r="AH77" s="14">
        <v>12484.096352130629</v>
      </c>
      <c r="AI77" s="14">
        <v>15756.412940273509</v>
      </c>
      <c r="AJ77" s="14">
        <v>5151.5271809921933</v>
      </c>
      <c r="AK77" s="14">
        <v>17014.373714464535</v>
      </c>
      <c r="AL77" s="14">
        <v>7221.324527854551</v>
      </c>
      <c r="AM77" s="14">
        <v>15744.176328935768</v>
      </c>
      <c r="AN77" s="14">
        <v>7229.0804385716065</v>
      </c>
      <c r="AO77" s="14">
        <v>11861.69498786045</v>
      </c>
      <c r="AP77" s="14">
        <v>35726.576600583772</v>
      </c>
      <c r="AQ77" s="14">
        <v>24449.339582220175</v>
      </c>
      <c r="AR77" s="14">
        <v>7290.9895278019821</v>
      </c>
      <c r="AS77" s="14">
        <v>2100.6792968103664</v>
      </c>
      <c r="AT77" s="14">
        <v>2063.6236956805378</v>
      </c>
      <c r="AU77" s="14">
        <v>29061.649685340104</v>
      </c>
      <c r="AV77" s="14">
        <v>3001.7096748683689</v>
      </c>
      <c r="AW77" s="14">
        <v>3253.1801463635111</v>
      </c>
      <c r="AX77" s="14">
        <v>6330.5532068506609</v>
      </c>
      <c r="AY77" s="14">
        <v>11595.697799035008</v>
      </c>
      <c r="AZ77" s="14">
        <v>13397.606272752113</v>
      </c>
      <c r="BA77" s="14">
        <v>24936.758612302026</v>
      </c>
      <c r="BB77" s="14">
        <v>19051.693583941589</v>
      </c>
      <c r="BC77" s="14">
        <v>18267.542555673434</v>
      </c>
      <c r="BD77" s="14">
        <v>5147.3426256941339</v>
      </c>
      <c r="BE77" s="14">
        <v>2767.3022038898926</v>
      </c>
      <c r="BF77" s="14">
        <v>5310.4639397188021</v>
      </c>
      <c r="BG77" s="14">
        <v>1123.6084256314266</v>
      </c>
      <c r="BH77" s="14">
        <v>13531.636303739975</v>
      </c>
      <c r="BI77" s="14">
        <v>6232.8453574642244</v>
      </c>
      <c r="BJ77" s="14">
        <v>8909.702353813349</v>
      </c>
      <c r="BK77" s="14">
        <v>2368.3761860607915</v>
      </c>
      <c r="BL77" s="14">
        <v>2768.142301079487</v>
      </c>
      <c r="BM77" s="14">
        <v>12198.211870945002</v>
      </c>
      <c r="BN77" s="14">
        <v>4153.9340689623168</v>
      </c>
      <c r="BO77" s="14">
        <v>2026.9103643325848</v>
      </c>
      <c r="BP77" s="1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</row>
    <row r="78" spans="1:100" customFormat="1">
      <c r="A78" s="20" t="s">
        <v>12</v>
      </c>
      <c r="B78" s="21" t="s">
        <v>15</v>
      </c>
      <c r="C78" s="14">
        <v>261071.57308504931</v>
      </c>
      <c r="D78" s="14">
        <v>53208.278755352861</v>
      </c>
      <c r="E78" s="14">
        <v>44348.135370020573</v>
      </c>
      <c r="F78" s="14">
        <v>26585.094334816949</v>
      </c>
      <c r="G78" s="14">
        <v>144343.60702569195</v>
      </c>
      <c r="H78" s="14">
        <v>193064.13071273902</v>
      </c>
      <c r="I78" s="14">
        <v>79891.182166567378</v>
      </c>
      <c r="J78" s="14">
        <v>49323.036434208771</v>
      </c>
      <c r="K78" s="14">
        <v>31644.10101428644</v>
      </c>
      <c r="L78" s="14">
        <v>7022.0522235435219</v>
      </c>
      <c r="M78" s="14">
        <v>4983.9459405462039</v>
      </c>
      <c r="N78" s="14">
        <v>962.7011755797464</v>
      </c>
      <c r="O78" s="14">
        <v>1332.5458487732919</v>
      </c>
      <c r="P78" s="14">
        <v>3219.3127467161216</v>
      </c>
      <c r="Q78" s="14">
        <v>25388.826996195672</v>
      </c>
      <c r="R78" s="14">
        <v>55829.545842290136</v>
      </c>
      <c r="S78" s="14">
        <v>87717.882166598822</v>
      </c>
      <c r="T78" s="14">
        <v>8060.0199331753856</v>
      </c>
      <c r="U78" s="14">
        <v>91824.827608966792</v>
      </c>
      <c r="V78" s="14">
        <v>336606.072149974</v>
      </c>
      <c r="W78" s="14">
        <v>19204.433863253755</v>
      </c>
      <c r="X78" s="14">
        <v>15323.301291905671</v>
      </c>
      <c r="Y78" s="14">
        <v>25778.362930731291</v>
      </c>
      <c r="Z78" s="14">
        <v>8311.6908039939226</v>
      </c>
      <c r="AA78" s="14">
        <v>23459.69346636163</v>
      </c>
      <c r="AB78" s="14">
        <v>1767.1325494388111</v>
      </c>
      <c r="AC78" s="14">
        <v>24354.94927708125</v>
      </c>
      <c r="AD78" s="14">
        <v>2820.017344786952</v>
      </c>
      <c r="AE78" s="14">
        <v>21062.314084927111</v>
      </c>
      <c r="AF78" s="14">
        <v>1909.9255953118761</v>
      </c>
      <c r="AG78" s="14">
        <v>4530.6036639767071</v>
      </c>
      <c r="AH78" s="14">
        <v>29174.867942615729</v>
      </c>
      <c r="AI78" s="14">
        <v>33362.701315151477</v>
      </c>
      <c r="AJ78" s="14">
        <v>10198.054013007346</v>
      </c>
      <c r="AK78" s="14">
        <v>87647.297460434638</v>
      </c>
      <c r="AL78" s="14">
        <v>29111.901815892921</v>
      </c>
      <c r="AM78" s="14">
        <v>77448.492454369421</v>
      </c>
      <c r="AN78" s="14">
        <v>10723.180910019189</v>
      </c>
      <c r="AO78" s="14">
        <v>105610.46307130986</v>
      </c>
      <c r="AP78" s="14">
        <v>232123.66535711355</v>
      </c>
      <c r="AQ78" s="14">
        <v>62242.303384120489</v>
      </c>
      <c r="AR78" s="14">
        <v>14937.194675833489</v>
      </c>
      <c r="AS78" s="14">
        <v>10070.55323735132</v>
      </c>
      <c r="AT78" s="14">
        <v>13153.929899427163</v>
      </c>
      <c r="AU78" s="14">
        <v>79711.848204399954</v>
      </c>
      <c r="AV78" s="14">
        <v>1619.5905982875411</v>
      </c>
      <c r="AW78" s="14">
        <v>1571.7726280152451</v>
      </c>
      <c r="AX78" s="14">
        <v>15792.458096367713</v>
      </c>
      <c r="AY78" s="14">
        <v>23653.475630267367</v>
      </c>
      <c r="AZ78" s="14">
        <v>27995.927674821905</v>
      </c>
      <c r="BA78" s="14">
        <v>34875.318481643131</v>
      </c>
      <c r="BB78" s="14">
        <v>47274.475350088876</v>
      </c>
      <c r="BC78" s="14">
        <v>32146.651995695123</v>
      </c>
      <c r="BD78" s="14">
        <v>10384.257108794356</v>
      </c>
      <c r="BE78" s="14">
        <v>5135.8198508884216</v>
      </c>
      <c r="BF78" s="14">
        <v>12414.679951664526</v>
      </c>
      <c r="BG78" s="14">
        <v>477.03637227935604</v>
      </c>
      <c r="BH78" s="14">
        <v>13989.77599172858</v>
      </c>
      <c r="BI78" s="14">
        <v>10871.533969513841</v>
      </c>
      <c r="BJ78" s="14">
        <v>15124.172851999259</v>
      </c>
      <c r="BK78" s="14">
        <v>8192.0159842418543</v>
      </c>
      <c r="BL78" s="14">
        <v>9237.9306076653738</v>
      </c>
      <c r="BM78" s="14">
        <v>39802.211573436034</v>
      </c>
      <c r="BN78" s="14">
        <v>11144.120984579444</v>
      </c>
      <c r="BO78" s="14">
        <v>562.15887793085153</v>
      </c>
      <c r="BP78" s="1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</row>
    <row r="79" spans="1:100" customFormat="1">
      <c r="A79" s="20" t="s">
        <v>12</v>
      </c>
      <c r="B79" s="21" t="s">
        <v>16</v>
      </c>
      <c r="C79" s="14">
        <v>644103.55158474797</v>
      </c>
      <c r="D79" s="14">
        <v>84663.807695914787</v>
      </c>
      <c r="E79" s="14">
        <v>79080.938367238996</v>
      </c>
      <c r="F79" s="14">
        <v>68648.230178927406</v>
      </c>
      <c r="G79" s="14">
        <v>228104.60639155278</v>
      </c>
      <c r="H79" s="14">
        <v>44795.162761648287</v>
      </c>
      <c r="I79" s="14">
        <v>30669.725385632162</v>
      </c>
      <c r="J79" s="14">
        <v>11534.249157609254</v>
      </c>
      <c r="K79" s="14">
        <v>5406.6063730108499</v>
      </c>
      <c r="L79" s="14">
        <v>9553.8168508944</v>
      </c>
      <c r="M79" s="14">
        <v>6465.0442421228963</v>
      </c>
      <c r="N79" s="14">
        <v>3746.8557799427308</v>
      </c>
      <c r="O79" s="14">
        <v>10464.612296332789</v>
      </c>
      <c r="P79" s="14">
        <v>10629.86327582563</v>
      </c>
      <c r="Q79" s="14">
        <v>26734.41378262734</v>
      </c>
      <c r="R79" s="14">
        <v>43662.033612417654</v>
      </c>
      <c r="S79" s="14">
        <v>65981.01648784861</v>
      </c>
      <c r="T79" s="14">
        <v>10326.527898287679</v>
      </c>
      <c r="U79" s="14">
        <v>251433.88809406222</v>
      </c>
      <c r="V79" s="14">
        <v>173988.13105037992</v>
      </c>
      <c r="W79" s="14">
        <v>42215.614545209763</v>
      </c>
      <c r="X79" s="14">
        <v>24869.052028436799</v>
      </c>
      <c r="Y79" s="14">
        <v>27613.615371978278</v>
      </c>
      <c r="Z79" s="14">
        <v>12867.750722220333</v>
      </c>
      <c r="AA79" s="14">
        <v>80516.247081919209</v>
      </c>
      <c r="AB79" s="14">
        <v>9797.8384865233365</v>
      </c>
      <c r="AC79" s="14">
        <v>45902.6698246784</v>
      </c>
      <c r="AD79" s="14">
        <v>11472.578585173194</v>
      </c>
      <c r="AE79" s="14">
        <v>185903.5373982724</v>
      </c>
      <c r="AF79" s="14">
        <v>23349.216494286473</v>
      </c>
      <c r="AG79" s="14">
        <v>27749.074699070075</v>
      </c>
      <c r="AH79" s="14">
        <v>84778.213819714336</v>
      </c>
      <c r="AI79" s="14">
        <v>42227.848754768973</v>
      </c>
      <c r="AJ79" s="14">
        <v>49763.948669551501</v>
      </c>
      <c r="AK79" s="14">
        <v>118836.33308718617</v>
      </c>
      <c r="AL79" s="14">
        <v>42207.19937920841</v>
      </c>
      <c r="AM79" s="14">
        <v>74847.261902403741</v>
      </c>
      <c r="AN79" s="14">
        <v>48540.391865501697</v>
      </c>
      <c r="AO79" s="14">
        <v>168385.45266990658</v>
      </c>
      <c r="AP79" s="14">
        <v>148010.46177544247</v>
      </c>
      <c r="AQ79" s="14">
        <v>73337.327704843148</v>
      </c>
      <c r="AR79" s="14">
        <v>15827.167240563291</v>
      </c>
      <c r="AS79" s="14">
        <v>12623.325012765556</v>
      </c>
      <c r="AT79" s="14">
        <v>8507.9089456144484</v>
      </c>
      <c r="AU79" s="14">
        <v>91003.305983484664</v>
      </c>
      <c r="AV79" s="14">
        <v>7901.7177449019764</v>
      </c>
      <c r="AW79" s="14">
        <v>11751.428305211091</v>
      </c>
      <c r="AX79" s="14">
        <v>15024.832317512395</v>
      </c>
      <c r="AY79" s="14">
        <v>28649.455113066317</v>
      </c>
      <c r="AZ79" s="14">
        <v>48012.221433976105</v>
      </c>
      <c r="BA79" s="14">
        <v>73227.548143575186</v>
      </c>
      <c r="BB79" s="14">
        <v>68837.612313565565</v>
      </c>
      <c r="BC79" s="14">
        <v>46896.83699628766</v>
      </c>
      <c r="BD79" s="14">
        <v>14426.38189424886</v>
      </c>
      <c r="BE79" s="14">
        <v>14060.403710806069</v>
      </c>
      <c r="BF79" s="14">
        <v>25350.786208358433</v>
      </c>
      <c r="BG79" s="14">
        <v>1115.6990533993915</v>
      </c>
      <c r="BH79" s="14">
        <v>51763.065451853254</v>
      </c>
      <c r="BI79" s="14">
        <v>13862.820845237075</v>
      </c>
      <c r="BJ79" s="14">
        <v>33979.255046022983</v>
      </c>
      <c r="BK79" s="14">
        <v>15660.390762305164</v>
      </c>
      <c r="BL79" s="14">
        <v>32006.20651701231</v>
      </c>
      <c r="BM79" s="14">
        <v>210659.83197736047</v>
      </c>
      <c r="BN79" s="14">
        <v>130244.7713872184</v>
      </c>
      <c r="BO79" s="14">
        <v>84983.935117187633</v>
      </c>
      <c r="BP79" s="1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</row>
    <row r="80" spans="1:100" customFormat="1">
      <c r="A80" s="20" t="s">
        <v>12</v>
      </c>
      <c r="B80" s="21" t="s">
        <v>17</v>
      </c>
      <c r="C80" s="14">
        <v>281400.8471768875</v>
      </c>
      <c r="D80" s="14">
        <v>58142.369389787142</v>
      </c>
      <c r="E80" s="14">
        <v>65619.438906774638</v>
      </c>
      <c r="F80" s="14">
        <v>42807.379124892475</v>
      </c>
      <c r="G80" s="14">
        <v>130027.05664575371</v>
      </c>
      <c r="H80" s="14">
        <v>120716.18163402338</v>
      </c>
      <c r="I80" s="14">
        <v>42089.456921080491</v>
      </c>
      <c r="J80" s="14">
        <v>46814.76320509363</v>
      </c>
      <c r="K80" s="14">
        <v>63593.914557777622</v>
      </c>
      <c r="L80" s="14">
        <v>40798.805390550508</v>
      </c>
      <c r="M80" s="14">
        <v>11609.614486314136</v>
      </c>
      <c r="N80" s="14">
        <v>5745.8171577595895</v>
      </c>
      <c r="O80" s="14">
        <v>8309.8134558613292</v>
      </c>
      <c r="P80" s="14">
        <v>23355.262587730129</v>
      </c>
      <c r="Q80" s="14">
        <v>66016.150254920372</v>
      </c>
      <c r="R80" s="14">
        <v>57540.477953258916</v>
      </c>
      <c r="S80" s="14">
        <v>33812.186726336993</v>
      </c>
      <c r="T80" s="14">
        <v>4742.5989715340338</v>
      </c>
      <c r="U80" s="14">
        <v>147736.56508899273</v>
      </c>
      <c r="V80" s="14">
        <v>166594.48559960231</v>
      </c>
      <c r="W80" s="14">
        <v>31180.303433008899</v>
      </c>
      <c r="X80" s="14">
        <v>39176.465022122829</v>
      </c>
      <c r="Y80" s="14">
        <v>59189.360746837039</v>
      </c>
      <c r="Z80" s="14">
        <v>12785.629736246727</v>
      </c>
      <c r="AA80" s="14">
        <v>139740.82826983236</v>
      </c>
      <c r="AB80" s="14">
        <v>3887.8820987171866</v>
      </c>
      <c r="AC80" s="14">
        <v>60276.369758932939</v>
      </c>
      <c r="AD80" s="14">
        <v>8168.9074884504244</v>
      </c>
      <c r="AE80" s="14">
        <v>119268.84410492243</v>
      </c>
      <c r="AF80" s="14">
        <v>15202.729003566876</v>
      </c>
      <c r="AG80" s="14">
        <v>14222.043802016982</v>
      </c>
      <c r="AH80" s="14">
        <v>122088.08779061363</v>
      </c>
      <c r="AI80" s="14">
        <v>67882.663979355581</v>
      </c>
      <c r="AJ80" s="14">
        <v>80599.081523352361</v>
      </c>
      <c r="AK80" s="14">
        <v>304604.06462131446</v>
      </c>
      <c r="AL80" s="14">
        <v>47581.757280698752</v>
      </c>
      <c r="AM80" s="14">
        <v>192530.65227892756</v>
      </c>
      <c r="AN80" s="14">
        <v>224916.88439676363</v>
      </c>
      <c r="AO80" s="14">
        <v>284713.89492790744</v>
      </c>
      <c r="AP80" s="14">
        <v>346631.55539597973</v>
      </c>
      <c r="AQ80" s="14">
        <v>113321.05395353428</v>
      </c>
      <c r="AR80" s="14">
        <v>27250.235477896065</v>
      </c>
      <c r="AS80" s="14">
        <v>21369.889935823754</v>
      </c>
      <c r="AT80" s="14">
        <v>10300.890995144648</v>
      </c>
      <c r="AU80" s="14">
        <v>98672.547379063399</v>
      </c>
      <c r="AV80" s="14">
        <v>9036.0838495461594</v>
      </c>
      <c r="AW80" s="14">
        <v>7426.4188321024685</v>
      </c>
      <c r="AX80" s="14">
        <v>38534.680479024639</v>
      </c>
      <c r="AY80" s="14">
        <v>163894.63714438214</v>
      </c>
      <c r="AZ80" s="14">
        <v>81745.967497504054</v>
      </c>
      <c r="BA80" s="14">
        <v>121548.27468003995</v>
      </c>
      <c r="BB80" s="14">
        <v>92284.345666453723</v>
      </c>
      <c r="BC80" s="14">
        <v>111680.46736882244</v>
      </c>
      <c r="BD80" s="14">
        <v>106862.05245841427</v>
      </c>
      <c r="BE80" s="14">
        <v>42054.72539887872</v>
      </c>
      <c r="BF80" s="14">
        <v>50125.168587294887</v>
      </c>
      <c r="BG80" s="14">
        <v>12973.74034105214</v>
      </c>
      <c r="BH80" s="14">
        <v>71122.56770774255</v>
      </c>
      <c r="BI80" s="14">
        <v>176019.26841712857</v>
      </c>
      <c r="BJ80" s="14">
        <v>42348.1221888976</v>
      </c>
      <c r="BK80" s="14">
        <v>97533.431517728663</v>
      </c>
      <c r="BL80" s="14">
        <v>234919.64106870699</v>
      </c>
      <c r="BM80" s="14">
        <v>413709.2470461998</v>
      </c>
      <c r="BN80" s="14">
        <v>289867.6428961702</v>
      </c>
      <c r="BO80" s="14">
        <v>51214.761045185522</v>
      </c>
      <c r="BP80" s="1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</row>
    <row r="81" spans="1:100" customFormat="1">
      <c r="A81" s="20" t="s">
        <v>12</v>
      </c>
      <c r="B81" s="21" t="s">
        <v>18</v>
      </c>
      <c r="C81" s="14">
        <v>52851.429600543081</v>
      </c>
      <c r="D81" s="14">
        <v>5465.5674132817385</v>
      </c>
      <c r="E81" s="14">
        <v>6185.7757279665675</v>
      </c>
      <c r="F81" s="14">
        <v>8325.678725947686</v>
      </c>
      <c r="G81" s="14">
        <v>12786.786833900553</v>
      </c>
      <c r="H81" s="14">
        <v>5226.2790763998546</v>
      </c>
      <c r="I81" s="14">
        <v>5426.8876110850024</v>
      </c>
      <c r="J81" s="14">
        <v>7374.8903202155925</v>
      </c>
      <c r="K81" s="14">
        <v>4943.0794120813362</v>
      </c>
      <c r="L81" s="14">
        <v>3552.5721048345081</v>
      </c>
      <c r="M81" s="14">
        <v>1570.4292524837183</v>
      </c>
      <c r="N81" s="14">
        <v>1728.8881353490453</v>
      </c>
      <c r="O81" s="14">
        <v>965.1309841158386</v>
      </c>
      <c r="P81" s="14">
        <v>2051.4217414395284</v>
      </c>
      <c r="Q81" s="14">
        <v>4565.8451703651308</v>
      </c>
      <c r="R81" s="14">
        <v>6280.1543636721244</v>
      </c>
      <c r="S81" s="14">
        <v>6967.2901366175229</v>
      </c>
      <c r="T81" s="14">
        <v>1034.7862995001374</v>
      </c>
      <c r="U81" s="14">
        <v>5376.401026285539</v>
      </c>
      <c r="V81" s="14">
        <v>15725.961999516114</v>
      </c>
      <c r="W81" s="14">
        <v>3052.325474573463</v>
      </c>
      <c r="X81" s="14">
        <v>1161.8370653067445</v>
      </c>
      <c r="Y81" s="14">
        <v>4728.1197011711138</v>
      </c>
      <c r="Z81" s="14">
        <v>1197.1564947906702</v>
      </c>
      <c r="AA81" s="14">
        <v>25133.824807344536</v>
      </c>
      <c r="AB81" s="14">
        <v>1518.7936633387324</v>
      </c>
      <c r="AC81" s="14">
        <v>14284.246317222131</v>
      </c>
      <c r="AD81" s="14">
        <v>3574.1589840694514</v>
      </c>
      <c r="AE81" s="14">
        <v>26275.268544332357</v>
      </c>
      <c r="AF81" s="14">
        <v>5662.9752284747474</v>
      </c>
      <c r="AG81" s="14">
        <v>4592.0879995565783</v>
      </c>
      <c r="AH81" s="14">
        <v>21216.432957364654</v>
      </c>
      <c r="AI81" s="14">
        <v>43272.702208246301</v>
      </c>
      <c r="AJ81" s="14">
        <v>29870.096655567977</v>
      </c>
      <c r="AK81" s="14">
        <v>77866.868344750299</v>
      </c>
      <c r="AL81" s="14">
        <v>26455.10075324279</v>
      </c>
      <c r="AM81" s="14">
        <v>218755.65590284695</v>
      </c>
      <c r="AN81" s="14">
        <v>95166.048443502485</v>
      </c>
      <c r="AO81" s="14">
        <v>151681.78645076312</v>
      </c>
      <c r="AP81" s="14">
        <v>107069.08447672011</v>
      </c>
      <c r="AQ81" s="14">
        <v>176736.4039590855</v>
      </c>
      <c r="AR81" s="14">
        <v>20457.082410855459</v>
      </c>
      <c r="AS81" s="14">
        <v>13704.331468907842</v>
      </c>
      <c r="AT81" s="14">
        <v>10788.525885199562</v>
      </c>
      <c r="AU81" s="14">
        <v>75061.357594510962</v>
      </c>
      <c r="AV81" s="14">
        <v>55434.892387931977</v>
      </c>
      <c r="AW81" s="14">
        <v>2835.5417358936697</v>
      </c>
      <c r="AX81" s="14">
        <v>85737.206450635582</v>
      </c>
      <c r="AY81" s="14">
        <v>174673.98432541877</v>
      </c>
      <c r="AZ81" s="14">
        <v>15367.704532548536</v>
      </c>
      <c r="BA81" s="14">
        <v>22697.160948659824</v>
      </c>
      <c r="BB81" s="14">
        <v>17666.017659493857</v>
      </c>
      <c r="BC81" s="14">
        <v>15216.249560492688</v>
      </c>
      <c r="BD81" s="14">
        <v>7360.3802438352986</v>
      </c>
      <c r="BE81" s="14">
        <v>9946.0035039505019</v>
      </c>
      <c r="BF81" s="14">
        <v>7613.6701157718962</v>
      </c>
      <c r="BG81" s="14">
        <v>298.83536576304766</v>
      </c>
      <c r="BH81" s="14">
        <v>25748.47804521786</v>
      </c>
      <c r="BI81" s="14">
        <v>26149.818674333288</v>
      </c>
      <c r="BJ81" s="14">
        <v>7590.3575566435647</v>
      </c>
      <c r="BK81" s="14">
        <v>14163.122694024325</v>
      </c>
      <c r="BL81" s="14">
        <v>51516.368449517147</v>
      </c>
      <c r="BM81" s="14">
        <v>22537.695432803361</v>
      </c>
      <c r="BN81" s="14">
        <v>16628.339975682473</v>
      </c>
      <c r="BO81" s="14">
        <v>20106.266461526986</v>
      </c>
      <c r="BP81" s="1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</row>
    <row r="82" spans="1:100" customFormat="1">
      <c r="A82" s="20" t="s">
        <v>12</v>
      </c>
      <c r="B82" s="21" t="s">
        <v>19</v>
      </c>
      <c r="C82" s="14">
        <v>8926.5483029671868</v>
      </c>
      <c r="D82" s="14">
        <v>1001.5081979569539</v>
      </c>
      <c r="E82" s="14">
        <v>1778.1717555804639</v>
      </c>
      <c r="F82" s="14">
        <v>176.38847525590361</v>
      </c>
      <c r="G82" s="14">
        <v>1338.5270942386874</v>
      </c>
      <c r="H82" s="14">
        <v>781.53619847495236</v>
      </c>
      <c r="I82" s="14">
        <v>565.22947052430243</v>
      </c>
      <c r="J82" s="14">
        <v>861.03211902482974</v>
      </c>
      <c r="K82" s="14">
        <v>185.70783250872191</v>
      </c>
      <c r="L82" s="14">
        <v>1923.3617996868679</v>
      </c>
      <c r="M82" s="14">
        <v>185.52472902045548</v>
      </c>
      <c r="N82" s="14">
        <v>66.75359813634573</v>
      </c>
      <c r="O82" s="14">
        <v>80.100132514117064</v>
      </c>
      <c r="P82" s="14">
        <v>189.3120774687066</v>
      </c>
      <c r="Q82" s="14">
        <v>336.9791080346875</v>
      </c>
      <c r="R82" s="14">
        <v>2203.6478727245699</v>
      </c>
      <c r="S82" s="14">
        <v>2752.3975404008365</v>
      </c>
      <c r="T82" s="14">
        <v>405.87868228167844</v>
      </c>
      <c r="U82" s="14">
        <v>4471.2296956486935</v>
      </c>
      <c r="V82" s="14">
        <v>5197.4352515730161</v>
      </c>
      <c r="W82" s="14">
        <v>1579.8802415636146</v>
      </c>
      <c r="X82" s="14">
        <v>2284.1065599432513</v>
      </c>
      <c r="Y82" s="14">
        <v>6517.3700073623568</v>
      </c>
      <c r="Z82" s="14">
        <v>1178.8334337188351</v>
      </c>
      <c r="AA82" s="14">
        <v>7262.3149245226678</v>
      </c>
      <c r="AB82" s="14">
        <v>923.62442841631685</v>
      </c>
      <c r="AC82" s="14">
        <v>3325.4777545601464</v>
      </c>
      <c r="AD82" s="14">
        <v>207.34006581999478</v>
      </c>
      <c r="AE82" s="14">
        <v>761.70594322114562</v>
      </c>
      <c r="AF82" s="14">
        <v>98.362213576489196</v>
      </c>
      <c r="AG82" s="14">
        <v>644.62004875481773</v>
      </c>
      <c r="AH82" s="14">
        <v>6783.6655823396741</v>
      </c>
      <c r="AI82" s="14">
        <v>6321.1091561024541</v>
      </c>
      <c r="AJ82" s="14">
        <v>1510.6691425256336</v>
      </c>
      <c r="AK82" s="14">
        <v>2213.5411815206653</v>
      </c>
      <c r="AL82" s="14">
        <v>1020.0597778250747</v>
      </c>
      <c r="AM82" s="14">
        <v>532.35097611805509</v>
      </c>
      <c r="AN82" s="14">
        <v>7.843094927948103</v>
      </c>
      <c r="AO82" s="14">
        <v>15003.848731847251</v>
      </c>
      <c r="AP82" s="14">
        <v>12330.338111232424</v>
      </c>
      <c r="AQ82" s="14">
        <v>8905.7271555204225</v>
      </c>
      <c r="AR82" s="14">
        <v>2032.8068074099333</v>
      </c>
      <c r="AS82" s="14">
        <v>3268.9045400618679</v>
      </c>
      <c r="AT82" s="14">
        <v>7651.5455638812082</v>
      </c>
      <c r="AU82" s="14">
        <v>11387.643057492312</v>
      </c>
      <c r="AV82" s="14">
        <v>944.66199290153645</v>
      </c>
      <c r="AW82" s="14">
        <v>980.2110281330099</v>
      </c>
      <c r="AX82" s="14">
        <v>8336.7924130877655</v>
      </c>
      <c r="AY82" s="14">
        <v>23315.261333784038</v>
      </c>
      <c r="AZ82" s="14">
        <v>3937.6270047290836</v>
      </c>
      <c r="BA82" s="14">
        <v>5355.2594459627771</v>
      </c>
      <c r="BB82" s="14">
        <v>5831.3126989831044</v>
      </c>
      <c r="BC82" s="14">
        <v>6428.1797962785759</v>
      </c>
      <c r="BD82" s="14">
        <v>1670.8833031711279</v>
      </c>
      <c r="BE82" s="14">
        <v>4777.079086180358</v>
      </c>
      <c r="BF82" s="14">
        <v>3412.8432586373515</v>
      </c>
      <c r="BG82" s="14">
        <v>152.48460837365087</v>
      </c>
      <c r="BH82" s="14">
        <v>8291.7345813703469</v>
      </c>
      <c r="BI82" s="14">
        <v>1894.9824254085729</v>
      </c>
      <c r="BJ82" s="14">
        <v>6694.6140684781103</v>
      </c>
      <c r="BK82" s="14">
        <v>4135.1489589001449</v>
      </c>
      <c r="BL82" s="14">
        <v>7730.5909993502428</v>
      </c>
      <c r="BM82" s="14">
        <v>24215.768521035468</v>
      </c>
      <c r="BN82" s="14">
        <v>15930.778186877335</v>
      </c>
      <c r="BO82" s="14">
        <v>1169.5818058995624</v>
      </c>
      <c r="BP82" s="1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</row>
    <row r="83" spans="1:100" customFormat="1">
      <c r="A83" s="20" t="s">
        <v>20</v>
      </c>
      <c r="B83" s="21" t="s">
        <v>21</v>
      </c>
      <c r="C83" s="14">
        <v>293440.85417405347</v>
      </c>
      <c r="D83" s="14">
        <v>82338.174696311209</v>
      </c>
      <c r="E83" s="14">
        <v>34866.095786080899</v>
      </c>
      <c r="F83" s="14">
        <v>42959.658334217289</v>
      </c>
      <c r="G83" s="14">
        <v>74968.853095364349</v>
      </c>
      <c r="H83" s="14">
        <v>167338.81640223606</v>
      </c>
      <c r="I83" s="14">
        <v>38545.068097459545</v>
      </c>
      <c r="J83" s="14">
        <v>22429.694990642485</v>
      </c>
      <c r="K83" s="14">
        <v>18964.814185367326</v>
      </c>
      <c r="L83" s="14">
        <v>34289.442023271127</v>
      </c>
      <c r="M83" s="14">
        <v>15000.671429002146</v>
      </c>
      <c r="N83" s="14">
        <v>4323.6985340875763</v>
      </c>
      <c r="O83" s="14">
        <v>4480.191215256601</v>
      </c>
      <c r="P83" s="14">
        <v>17637.945485940461</v>
      </c>
      <c r="Q83" s="14">
        <v>73771.617650220098</v>
      </c>
      <c r="R83" s="14">
        <v>49710.262770187102</v>
      </c>
      <c r="S83" s="14">
        <v>103100.27476562622</v>
      </c>
      <c r="T83" s="14">
        <v>17825.225855370794</v>
      </c>
      <c r="U83" s="14">
        <v>356704.09635244537</v>
      </c>
      <c r="V83" s="14">
        <v>380454.99169121555</v>
      </c>
      <c r="W83" s="14">
        <v>64362.426759544876</v>
      </c>
      <c r="X83" s="14">
        <v>50799.574199677743</v>
      </c>
      <c r="Y83" s="14">
        <v>185793.94573454172</v>
      </c>
      <c r="Z83" s="14">
        <v>24740.779527041985</v>
      </c>
      <c r="AA83" s="14">
        <v>129209.64907281731</v>
      </c>
      <c r="AB83" s="14">
        <v>6257.1622792247299</v>
      </c>
      <c r="AC83" s="14">
        <v>147986.13091992095</v>
      </c>
      <c r="AD83" s="14">
        <v>13708.821090946672</v>
      </c>
      <c r="AE83" s="14">
        <v>135680.37273951957</v>
      </c>
      <c r="AF83" s="14">
        <v>12634.247611107579</v>
      </c>
      <c r="AG83" s="14">
        <v>17503.201721436762</v>
      </c>
      <c r="AH83" s="14">
        <v>260122.69803864611</v>
      </c>
      <c r="AI83" s="14">
        <v>187500.637521889</v>
      </c>
      <c r="AJ83" s="14">
        <v>25952.684057076403</v>
      </c>
      <c r="AK83" s="14">
        <v>176246.04875726139</v>
      </c>
      <c r="AL83" s="14">
        <v>68581.409840395325</v>
      </c>
      <c r="AM83" s="14">
        <v>115793.0957896886</v>
      </c>
      <c r="AN83" s="14">
        <v>84544.060633411515</v>
      </c>
      <c r="AO83" s="14">
        <v>256762.45109492721</v>
      </c>
      <c r="AP83" s="14">
        <v>100797.94716573854</v>
      </c>
      <c r="AQ83" s="14">
        <v>253761.66954613561</v>
      </c>
      <c r="AR83" s="14">
        <v>59321.693155978362</v>
      </c>
      <c r="AS83" s="14">
        <v>54498.485638008533</v>
      </c>
      <c r="AT83" s="14">
        <v>92871.172857383033</v>
      </c>
      <c r="AU83" s="14">
        <v>13268.549055652775</v>
      </c>
      <c r="AV83" s="14">
        <v>15367.944140585387</v>
      </c>
      <c r="AW83" s="14">
        <v>75530.300152567346</v>
      </c>
      <c r="AX83" s="14">
        <v>121178.69483766115</v>
      </c>
      <c r="AY83" s="14">
        <v>287830.59131579875</v>
      </c>
      <c r="AZ83" s="14">
        <v>251646.59693124273</v>
      </c>
      <c r="BA83" s="14">
        <v>473882.12278408115</v>
      </c>
      <c r="BB83" s="14">
        <v>231337.79156996644</v>
      </c>
      <c r="BC83" s="14">
        <v>27329.879092215684</v>
      </c>
      <c r="BD83" s="14">
        <v>173819.50640280073</v>
      </c>
      <c r="BE83" s="14">
        <v>96427.609884570425</v>
      </c>
      <c r="BF83" s="14">
        <v>167501.95462468575</v>
      </c>
      <c r="BG83" s="14">
        <v>16245.589580529077</v>
      </c>
      <c r="BH83" s="14">
        <v>73733.988714071005</v>
      </c>
      <c r="BI83" s="14">
        <v>143984.87360952821</v>
      </c>
      <c r="BJ83" s="14">
        <v>243287.11642318428</v>
      </c>
      <c r="BK83" s="14">
        <v>63696.031195392643</v>
      </c>
      <c r="BL83" s="14">
        <v>183432.25924638531</v>
      </c>
      <c r="BM83" s="14">
        <v>589434.58056715061</v>
      </c>
      <c r="BN83" s="14">
        <v>71363.070976015879</v>
      </c>
      <c r="BO83" s="14">
        <v>12567.106452686734</v>
      </c>
      <c r="BP83" s="1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</row>
    <row r="84" spans="1:100" customFormat="1">
      <c r="A84" s="20" t="s">
        <v>20</v>
      </c>
      <c r="B84" s="21" t="s">
        <v>15</v>
      </c>
      <c r="C84" s="14">
        <v>72328.428202456926</v>
      </c>
      <c r="D84" s="14">
        <v>5274.0745482591574</v>
      </c>
      <c r="E84" s="14">
        <v>5655.7808618764475</v>
      </c>
      <c r="F84" s="14">
        <v>4320.7101626860158</v>
      </c>
      <c r="G84" s="14">
        <v>28283.469720903515</v>
      </c>
      <c r="H84" s="14">
        <v>9661.1448587022187</v>
      </c>
      <c r="I84" s="14">
        <v>57857.65131267102</v>
      </c>
      <c r="J84" s="14">
        <v>17999.551209245201</v>
      </c>
      <c r="K84" s="14">
        <v>9620.7960604080599</v>
      </c>
      <c r="L84" s="14">
        <v>4646.9155682570436</v>
      </c>
      <c r="M84" s="14">
        <v>1776.2143910001168</v>
      </c>
      <c r="N84" s="14">
        <v>1019.7411936739836</v>
      </c>
      <c r="O84" s="14">
        <v>787.18944663300033</v>
      </c>
      <c r="P84" s="14">
        <v>1582.6620865898437</v>
      </c>
      <c r="Q84" s="14">
        <v>7224.3731276132121</v>
      </c>
      <c r="R84" s="14">
        <v>18153.762291884927</v>
      </c>
      <c r="S84" s="14">
        <v>35575.861982284769</v>
      </c>
      <c r="T84" s="14">
        <v>1999.5719282335508</v>
      </c>
      <c r="U84" s="14">
        <v>11021.530971423723</v>
      </c>
      <c r="V84" s="14">
        <v>75983.774370932602</v>
      </c>
      <c r="W84" s="14">
        <v>2613.5576676347446</v>
      </c>
      <c r="X84" s="14">
        <v>4688.5489152445989</v>
      </c>
      <c r="Y84" s="14">
        <v>4843.5914501256793</v>
      </c>
      <c r="Z84" s="14">
        <v>2898.4590342279803</v>
      </c>
      <c r="AA84" s="14">
        <v>19246.613799802904</v>
      </c>
      <c r="AB84" s="14">
        <v>681.37418433382345</v>
      </c>
      <c r="AC84" s="14">
        <v>11827.403143287996</v>
      </c>
      <c r="AD84" s="14">
        <v>876.26726624690264</v>
      </c>
      <c r="AE84" s="14">
        <v>1594.2320742024276</v>
      </c>
      <c r="AF84" s="14">
        <v>590.1642288981518</v>
      </c>
      <c r="AG84" s="14">
        <v>565.14551878205941</v>
      </c>
      <c r="AH84" s="14">
        <v>2206.6503480049882</v>
      </c>
      <c r="AI84" s="14">
        <v>166.03235866947759</v>
      </c>
      <c r="AJ84" s="14">
        <v>343.02917965545197</v>
      </c>
      <c r="AK84" s="14">
        <v>1777.8162613980103</v>
      </c>
      <c r="AL84" s="14">
        <v>448.6751897061738</v>
      </c>
      <c r="AM84" s="14">
        <v>77.380064452590389</v>
      </c>
      <c r="AN84" s="14">
        <v>408.93748010493778</v>
      </c>
      <c r="AO84" s="14">
        <v>12887.138366196297</v>
      </c>
      <c r="AP84" s="14">
        <v>14480.893558502727</v>
      </c>
      <c r="AQ84" s="14">
        <v>36.106843423211494</v>
      </c>
      <c r="AR84" s="14">
        <v>33.204817195619441</v>
      </c>
      <c r="AS84" s="14">
        <v>23.721117994228187</v>
      </c>
      <c r="AT84" s="14">
        <v>827.71183149479168</v>
      </c>
      <c r="AU84" s="14">
        <v>64141.102706980157</v>
      </c>
      <c r="AV84" s="14">
        <v>2117.3057962182156</v>
      </c>
      <c r="AW84" s="14">
        <v>305.85601114698068</v>
      </c>
      <c r="AX84" s="14">
        <v>1032.2722263086064</v>
      </c>
      <c r="AY84" s="14">
        <v>1873.7603853505752</v>
      </c>
      <c r="AZ84" s="14">
        <v>3727.0533925367554</v>
      </c>
      <c r="BA84" s="14">
        <v>9171.7500658206463</v>
      </c>
      <c r="BB84" s="14">
        <v>4693.6942980755903</v>
      </c>
      <c r="BC84" s="14">
        <v>10847.815146934427</v>
      </c>
      <c r="BD84" s="14">
        <v>64.083734970719433</v>
      </c>
      <c r="BE84" s="14">
        <v>195.87233298489775</v>
      </c>
      <c r="BF84" s="14">
        <v>262.41180099493124</v>
      </c>
      <c r="BG84" s="14">
        <v>29.263033570415651</v>
      </c>
      <c r="BH84" s="14">
        <v>951.9976193426769</v>
      </c>
      <c r="BI84" s="14">
        <v>11308.822644013859</v>
      </c>
      <c r="BJ84" s="14">
        <v>242.11121574860377</v>
      </c>
      <c r="BK84" s="14">
        <v>6066.6566681336781</v>
      </c>
      <c r="BL84" s="14">
        <v>193.26274253497968</v>
      </c>
      <c r="BM84" s="14">
        <v>218.71295457257582</v>
      </c>
      <c r="BN84" s="14">
        <v>5289.2221322707292</v>
      </c>
      <c r="BO84" s="14">
        <v>915.8278733094694</v>
      </c>
      <c r="BP84" s="1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</row>
    <row r="85" spans="1:100" customFormat="1">
      <c r="L85" s="8"/>
      <c r="M85" s="15"/>
      <c r="N85" s="15"/>
      <c r="O85" s="16"/>
      <c r="P85" s="9"/>
      <c r="Q85" s="9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</row>
    <row r="86" spans="1:100" customFormat="1">
      <c r="A86" s="1" t="s">
        <v>24</v>
      </c>
      <c r="L86" s="8"/>
      <c r="M86" s="15"/>
      <c r="N86" s="15"/>
      <c r="O86" s="16"/>
      <c r="P86" s="9"/>
      <c r="Q86" s="9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</row>
    <row r="87" spans="1:100" customFormat="1">
      <c r="A87" s="20" t="s">
        <v>5</v>
      </c>
      <c r="B87" s="21" t="s">
        <v>6</v>
      </c>
      <c r="C87" s="14">
        <f>C68+C38</f>
        <v>55754.191042941238</v>
      </c>
      <c r="D87" s="14">
        <f t="shared" ref="C87:BM91" si="13">D68+D38</f>
        <v>26169.282340526719</v>
      </c>
      <c r="E87" s="14">
        <f t="shared" si="13"/>
        <v>32470.602839496216</v>
      </c>
      <c r="F87" s="14">
        <f t="shared" si="13"/>
        <v>32776.141239998884</v>
      </c>
      <c r="G87" s="14">
        <f t="shared" si="13"/>
        <v>53997.087909436545</v>
      </c>
      <c r="H87" s="14">
        <f t="shared" si="13"/>
        <v>9388.9533296862064</v>
      </c>
      <c r="I87" s="14">
        <f t="shared" si="13"/>
        <v>10683.938860073158</v>
      </c>
      <c r="J87" s="14">
        <f t="shared" si="13"/>
        <v>15988.387635265632</v>
      </c>
      <c r="K87" s="14">
        <f t="shared" si="13"/>
        <v>10030.534009783287</v>
      </c>
      <c r="L87" s="14">
        <f t="shared" si="13"/>
        <v>16072.438403539685</v>
      </c>
      <c r="M87" s="14">
        <f t="shared" si="13"/>
        <v>7497.6835629393936</v>
      </c>
      <c r="N87" s="14">
        <f t="shared" si="13"/>
        <v>2089.9300897116482</v>
      </c>
      <c r="O87" s="14">
        <f t="shared" si="13"/>
        <v>16194.081111416621</v>
      </c>
      <c r="P87" s="14">
        <f t="shared" si="13"/>
        <v>18745.817241656641</v>
      </c>
      <c r="Q87" s="14">
        <f t="shared" si="13"/>
        <v>11289.950311327406</v>
      </c>
      <c r="R87" s="14">
        <f t="shared" si="13"/>
        <v>16953.098602472473</v>
      </c>
      <c r="S87" s="14">
        <f t="shared" si="13"/>
        <v>20962.84013677427</v>
      </c>
      <c r="T87" s="14">
        <f t="shared" si="13"/>
        <v>10579.944184236914</v>
      </c>
      <c r="U87" s="14">
        <f t="shared" si="13"/>
        <v>20180.831763391707</v>
      </c>
      <c r="V87" s="14">
        <f t="shared" si="13"/>
        <v>51995.148989110778</v>
      </c>
      <c r="W87" s="14">
        <f t="shared" si="13"/>
        <v>26857.766948284672</v>
      </c>
      <c r="X87" s="14">
        <f t="shared" si="13"/>
        <v>15250.38976580314</v>
      </c>
      <c r="Y87" s="14">
        <f t="shared" si="13"/>
        <v>21650.629711848775</v>
      </c>
      <c r="Z87" s="14">
        <f t="shared" si="13"/>
        <v>49219.851161889841</v>
      </c>
      <c r="AA87" s="14">
        <f t="shared" si="13"/>
        <v>44707.948629153776</v>
      </c>
      <c r="AB87" s="14">
        <f t="shared" si="13"/>
        <v>5576.5576426974949</v>
      </c>
      <c r="AC87" s="14">
        <f t="shared" si="13"/>
        <v>6941.1177428657375</v>
      </c>
      <c r="AD87" s="14">
        <f t="shared" si="13"/>
        <v>15550.972567237717</v>
      </c>
      <c r="AE87" s="14">
        <f t="shared" si="13"/>
        <v>20429.986360936746</v>
      </c>
      <c r="AF87" s="14">
        <f t="shared" si="13"/>
        <v>10304.449142339363</v>
      </c>
      <c r="AG87" s="14">
        <f t="shared" si="13"/>
        <v>15013.689300192298</v>
      </c>
      <c r="AH87" s="14">
        <f t="shared" si="13"/>
        <v>13166.454757389451</v>
      </c>
      <c r="AI87" s="14">
        <f t="shared" si="13"/>
        <v>3273.0458454034342</v>
      </c>
      <c r="AJ87" s="14">
        <f t="shared" si="13"/>
        <v>4153.4246883356191</v>
      </c>
      <c r="AK87" s="14">
        <f t="shared" si="13"/>
        <v>17939.043795321832</v>
      </c>
      <c r="AL87" s="14">
        <f t="shared" si="13"/>
        <v>3418.8733401690065</v>
      </c>
      <c r="AM87" s="14">
        <f t="shared" si="13"/>
        <v>1416.5289568159417</v>
      </c>
      <c r="AN87" s="14">
        <f t="shared" si="13"/>
        <v>3836.7549955218415</v>
      </c>
      <c r="AO87" s="14">
        <f t="shared" si="13"/>
        <v>1305.7968348734285</v>
      </c>
      <c r="AP87" s="14">
        <f t="shared" si="13"/>
        <v>4081.2984969692989</v>
      </c>
      <c r="AQ87" s="14">
        <f t="shared" si="13"/>
        <v>7546.4867654734289</v>
      </c>
      <c r="AR87" s="14">
        <f t="shared" si="13"/>
        <v>2729.6507441399453</v>
      </c>
      <c r="AS87" s="14">
        <f t="shared" si="13"/>
        <v>6992.6437068293699</v>
      </c>
      <c r="AT87" s="14">
        <f t="shared" si="13"/>
        <v>282.78263017710043</v>
      </c>
      <c r="AU87" s="14">
        <f t="shared" si="13"/>
        <v>6236.072943797747</v>
      </c>
      <c r="AV87" s="14">
        <f t="shared" si="13"/>
        <v>240.46206536751549</v>
      </c>
      <c r="AW87" s="14">
        <f t="shared" si="13"/>
        <v>1488.8647839754094</v>
      </c>
      <c r="AX87" s="14">
        <f t="shared" si="13"/>
        <v>1726.9231070757182</v>
      </c>
      <c r="AY87" s="14">
        <f t="shared" si="13"/>
        <v>1908.4183812015099</v>
      </c>
      <c r="AZ87" s="14">
        <f t="shared" si="13"/>
        <v>649.13605019227407</v>
      </c>
      <c r="BA87" s="14">
        <f t="shared" si="13"/>
        <v>2815.6946882689749</v>
      </c>
      <c r="BB87" s="14">
        <f t="shared" si="13"/>
        <v>1405.4359861510579</v>
      </c>
      <c r="BC87" s="14">
        <f t="shared" si="13"/>
        <v>5659.022457165026</v>
      </c>
      <c r="BD87" s="14">
        <f t="shared" si="13"/>
        <v>150.14746420731188</v>
      </c>
      <c r="BE87" s="14">
        <f t="shared" si="13"/>
        <v>370.34222272096429</v>
      </c>
      <c r="BF87" s="14">
        <f t="shared" si="13"/>
        <v>928.47410859149693</v>
      </c>
      <c r="BG87" s="14">
        <f t="shared" si="13"/>
        <v>597.02191610235661</v>
      </c>
      <c r="BH87" s="14">
        <f t="shared" si="13"/>
        <v>4848.317805840994</v>
      </c>
      <c r="BI87" s="14">
        <f t="shared" si="13"/>
        <v>1289.3625777022417</v>
      </c>
      <c r="BJ87" s="14">
        <f t="shared" si="13"/>
        <v>5032.4928910595199</v>
      </c>
      <c r="BK87" s="14">
        <f t="shared" si="13"/>
        <v>1731.520518745034</v>
      </c>
      <c r="BL87" s="14">
        <f t="shared" si="13"/>
        <v>4846.1334047853234</v>
      </c>
      <c r="BM87" s="14">
        <f t="shared" si="13"/>
        <v>5079.3055777479258</v>
      </c>
      <c r="BN87" s="14">
        <f t="shared" ref="BJ87:BO102" si="14">BN68+BN38</f>
        <v>1166.5469091459408</v>
      </c>
      <c r="BO87" s="14">
        <f t="shared" si="14"/>
        <v>1780.2255715985359</v>
      </c>
      <c r="BP87" s="1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</row>
    <row r="88" spans="1:100" customFormat="1">
      <c r="A88" s="20" t="s">
        <v>7</v>
      </c>
      <c r="B88" s="21" t="s">
        <v>6</v>
      </c>
      <c r="C88" s="14">
        <f t="shared" si="13"/>
        <v>65909.668080859847</v>
      </c>
      <c r="D88" s="14">
        <f t="shared" si="13"/>
        <v>27999.342420966972</v>
      </c>
      <c r="E88" s="14">
        <f t="shared" si="13"/>
        <v>23192.008747928397</v>
      </c>
      <c r="F88" s="14">
        <f t="shared" si="13"/>
        <v>37460.499889560844</v>
      </c>
      <c r="G88" s="14">
        <f t="shared" si="13"/>
        <v>47620.981926795226</v>
      </c>
      <c r="H88" s="14">
        <f t="shared" si="13"/>
        <v>22071.432414473897</v>
      </c>
      <c r="I88" s="14">
        <f t="shared" si="13"/>
        <v>26728.929740539956</v>
      </c>
      <c r="J88" s="14">
        <f t="shared" si="13"/>
        <v>27042.40869135064</v>
      </c>
      <c r="K88" s="14">
        <f t="shared" si="13"/>
        <v>12111.69993566859</v>
      </c>
      <c r="L88" s="14">
        <f t="shared" si="13"/>
        <v>8105.7192250818525</v>
      </c>
      <c r="M88" s="14">
        <f t="shared" si="13"/>
        <v>22297.280659457036</v>
      </c>
      <c r="N88" s="14">
        <f t="shared" si="13"/>
        <v>16324.907692536386</v>
      </c>
      <c r="O88" s="14">
        <f t="shared" si="13"/>
        <v>7454.5633028072834</v>
      </c>
      <c r="P88" s="14">
        <f t="shared" si="13"/>
        <v>5593.577036879964</v>
      </c>
      <c r="Q88" s="14">
        <f t="shared" si="13"/>
        <v>34284.228120980246</v>
      </c>
      <c r="R88" s="14">
        <f t="shared" si="13"/>
        <v>9793.7645439087464</v>
      </c>
      <c r="S88" s="14">
        <f t="shared" si="13"/>
        <v>5600.2094398126264</v>
      </c>
      <c r="T88" s="14">
        <f t="shared" si="13"/>
        <v>1135.854337167315</v>
      </c>
      <c r="U88" s="14">
        <f t="shared" si="13"/>
        <v>10414.707271667847</v>
      </c>
      <c r="V88" s="14">
        <f t="shared" si="13"/>
        <v>6177.0781435720237</v>
      </c>
      <c r="W88" s="14">
        <f t="shared" si="13"/>
        <v>4454.8546891924152</v>
      </c>
      <c r="X88" s="14">
        <f t="shared" si="13"/>
        <v>764.69127791308483</v>
      </c>
      <c r="Y88" s="14">
        <f t="shared" si="13"/>
        <v>988.68552730763008</v>
      </c>
      <c r="Z88" s="14">
        <f t="shared" si="13"/>
        <v>464.62202093273544</v>
      </c>
      <c r="AA88" s="14">
        <f t="shared" si="13"/>
        <v>523.02650968065836</v>
      </c>
      <c r="AB88" s="14">
        <f t="shared" si="13"/>
        <v>6264.4487837314764</v>
      </c>
      <c r="AC88" s="14">
        <f t="shared" si="13"/>
        <v>3006.6672237866496</v>
      </c>
      <c r="AD88" s="14">
        <f t="shared" si="13"/>
        <v>9026.4373130069889</v>
      </c>
      <c r="AE88" s="14">
        <f t="shared" si="13"/>
        <v>1153.3839929582955</v>
      </c>
      <c r="AF88" s="14">
        <f t="shared" si="13"/>
        <v>1426.5191940080449</v>
      </c>
      <c r="AG88" s="14">
        <f t="shared" si="13"/>
        <v>1461.6984408088549</v>
      </c>
      <c r="AH88" s="14">
        <f t="shared" si="13"/>
        <v>2524.5548878845293</v>
      </c>
      <c r="AI88" s="14">
        <f t="shared" si="13"/>
        <v>2829.2558726430098</v>
      </c>
      <c r="AJ88" s="14">
        <f t="shared" si="13"/>
        <v>1845.3977089551479</v>
      </c>
      <c r="AK88" s="14">
        <f t="shared" si="13"/>
        <v>4169.0559147159984</v>
      </c>
      <c r="AL88" s="14">
        <f t="shared" si="13"/>
        <v>1223.1468715890956</v>
      </c>
      <c r="AM88" s="14">
        <f t="shared" si="13"/>
        <v>703.59949433368911</v>
      </c>
      <c r="AN88" s="14">
        <f t="shared" si="13"/>
        <v>1815.9278052789389</v>
      </c>
      <c r="AO88" s="14">
        <f t="shared" si="13"/>
        <v>1911.0531300265709</v>
      </c>
      <c r="AP88" s="14">
        <f t="shared" si="13"/>
        <v>2812.0806046200646</v>
      </c>
      <c r="AQ88" s="14">
        <f t="shared" si="13"/>
        <v>5902.130327660564</v>
      </c>
      <c r="AR88" s="14">
        <f t="shared" si="13"/>
        <v>1264.6536866217396</v>
      </c>
      <c r="AS88" s="14">
        <f t="shared" si="13"/>
        <v>2712.2127114282798</v>
      </c>
      <c r="AT88" s="14">
        <f t="shared" si="13"/>
        <v>3034.4291144613167</v>
      </c>
      <c r="AU88" s="14">
        <f t="shared" si="13"/>
        <v>4956.7003468301418</v>
      </c>
      <c r="AV88" s="14">
        <f t="shared" si="13"/>
        <v>1166.45158158204</v>
      </c>
      <c r="AW88" s="14">
        <f t="shared" si="13"/>
        <v>416.97890955655981</v>
      </c>
      <c r="AX88" s="14">
        <f t="shared" si="13"/>
        <v>310.81738474464396</v>
      </c>
      <c r="AY88" s="14">
        <f t="shared" si="13"/>
        <v>2474.5104149995045</v>
      </c>
      <c r="AZ88" s="14">
        <f t="shared" si="13"/>
        <v>3804.8691384199674</v>
      </c>
      <c r="BA88" s="14">
        <f t="shared" si="13"/>
        <v>1033.1787793807919</v>
      </c>
      <c r="BB88" s="14">
        <f t="shared" si="13"/>
        <v>2690.6499312465721</v>
      </c>
      <c r="BC88" s="14">
        <f t="shared" si="13"/>
        <v>3591.6857063521616</v>
      </c>
      <c r="BD88" s="14">
        <f t="shared" si="13"/>
        <v>1733.8108694092355</v>
      </c>
      <c r="BE88" s="14">
        <f t="shared" si="13"/>
        <v>2560.0899730936262</v>
      </c>
      <c r="BF88" s="14">
        <f t="shared" si="13"/>
        <v>927.18414246741827</v>
      </c>
      <c r="BG88" s="14">
        <f t="shared" si="13"/>
        <v>994.81232023079315</v>
      </c>
      <c r="BH88" s="14">
        <f t="shared" si="13"/>
        <v>2439.1204536836885</v>
      </c>
      <c r="BI88" s="14">
        <f t="shared" si="13"/>
        <v>2284.4147666407334</v>
      </c>
      <c r="BJ88" s="14">
        <f t="shared" si="14"/>
        <v>1623.1255309609237</v>
      </c>
      <c r="BK88" s="14">
        <f t="shared" si="14"/>
        <v>925.18051432086475</v>
      </c>
      <c r="BL88" s="14">
        <f t="shared" si="14"/>
        <v>590.70433140722673</v>
      </c>
      <c r="BM88" s="14">
        <f t="shared" si="14"/>
        <v>5141.6067554719857</v>
      </c>
      <c r="BN88" s="14">
        <f t="shared" si="14"/>
        <v>34.512367388805174</v>
      </c>
      <c r="BO88" s="14">
        <f t="shared" si="14"/>
        <v>1724.90936341359</v>
      </c>
      <c r="BP88" s="1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</row>
    <row r="89" spans="1:100" customFormat="1">
      <c r="A89" s="20" t="s">
        <v>7</v>
      </c>
      <c r="B89" s="21" t="s">
        <v>8</v>
      </c>
      <c r="C89" s="14">
        <f t="shared" si="13"/>
        <v>6445.6321354045249</v>
      </c>
      <c r="D89" s="14">
        <f t="shared" si="13"/>
        <v>1613.1543877305057</v>
      </c>
      <c r="E89" s="14">
        <f t="shared" si="13"/>
        <v>1691.1759239819562</v>
      </c>
      <c r="F89" s="14">
        <f t="shared" si="13"/>
        <v>5800.3662614613277</v>
      </c>
      <c r="G89" s="14">
        <f t="shared" si="13"/>
        <v>5559.1985533869829</v>
      </c>
      <c r="H89" s="14">
        <f t="shared" si="13"/>
        <v>1854.5694109597448</v>
      </c>
      <c r="I89" s="14">
        <f t="shared" si="13"/>
        <v>2148.5368932854799</v>
      </c>
      <c r="J89" s="14">
        <f t="shared" si="13"/>
        <v>2819.8476201823037</v>
      </c>
      <c r="K89" s="14">
        <f t="shared" si="13"/>
        <v>6565.8629849592744</v>
      </c>
      <c r="L89" s="14">
        <f t="shared" si="13"/>
        <v>4572.205254092929</v>
      </c>
      <c r="M89" s="14">
        <f t="shared" si="13"/>
        <v>1720.4359454824364</v>
      </c>
      <c r="N89" s="14">
        <f t="shared" si="13"/>
        <v>818.76656578850293</v>
      </c>
      <c r="O89" s="14">
        <f t="shared" si="13"/>
        <v>5310.5307934465791</v>
      </c>
      <c r="P89" s="14">
        <f t="shared" si="13"/>
        <v>5181.3354321545348</v>
      </c>
      <c r="Q89" s="14">
        <f t="shared" si="13"/>
        <v>4823.0579573533741</v>
      </c>
      <c r="R89" s="14">
        <f t="shared" si="13"/>
        <v>1892.6544521557523</v>
      </c>
      <c r="S89" s="14">
        <f t="shared" si="13"/>
        <v>4809.893728925651</v>
      </c>
      <c r="T89" s="14">
        <f t="shared" si="13"/>
        <v>2313.4444540103405</v>
      </c>
      <c r="U89" s="14">
        <f t="shared" si="13"/>
        <v>2804.7466553160102</v>
      </c>
      <c r="V89" s="14">
        <f t="shared" si="13"/>
        <v>11566.611700571288</v>
      </c>
      <c r="W89" s="14">
        <f t="shared" si="13"/>
        <v>3267.8797518574393</v>
      </c>
      <c r="X89" s="14">
        <f t="shared" si="13"/>
        <v>4057.8643168310618</v>
      </c>
      <c r="Y89" s="14">
        <f t="shared" si="13"/>
        <v>2842.1990061591882</v>
      </c>
      <c r="Z89" s="14">
        <f t="shared" si="13"/>
        <v>2330.3518855519046</v>
      </c>
      <c r="AA89" s="14">
        <f t="shared" si="13"/>
        <v>2729.1658264773628</v>
      </c>
      <c r="AB89" s="14">
        <f t="shared" si="13"/>
        <v>3750.0131898720952</v>
      </c>
      <c r="AC89" s="14">
        <f t="shared" si="13"/>
        <v>2048.2063393506101</v>
      </c>
      <c r="AD89" s="14">
        <f t="shared" si="13"/>
        <v>5315.4609019952541</v>
      </c>
      <c r="AE89" s="14">
        <f t="shared" si="13"/>
        <v>870.74728017821121</v>
      </c>
      <c r="AF89" s="14">
        <f t="shared" si="13"/>
        <v>1175.9478203827091</v>
      </c>
      <c r="AG89" s="14">
        <f t="shared" si="13"/>
        <v>852.96132747750312</v>
      </c>
      <c r="AH89" s="14">
        <f t="shared" si="13"/>
        <v>524.57112672398409</v>
      </c>
      <c r="AI89" s="14">
        <f t="shared" si="13"/>
        <v>1597.0846638379778</v>
      </c>
      <c r="AJ89" s="14">
        <f t="shared" si="13"/>
        <v>771.33181999061026</v>
      </c>
      <c r="AK89" s="14">
        <f t="shared" si="13"/>
        <v>2444.779267112006</v>
      </c>
      <c r="AL89" s="14">
        <f t="shared" si="13"/>
        <v>1209.9996135949073</v>
      </c>
      <c r="AM89" s="14">
        <f t="shared" si="13"/>
        <v>515.85873865122505</v>
      </c>
      <c r="AN89" s="14">
        <f t="shared" si="13"/>
        <v>243.65281438473943</v>
      </c>
      <c r="AO89" s="14">
        <f t="shared" si="13"/>
        <v>173.30343261441593</v>
      </c>
      <c r="AP89" s="14">
        <f t="shared" si="13"/>
        <v>983.96578025934298</v>
      </c>
      <c r="AQ89" s="14">
        <f t="shared" si="13"/>
        <v>2376.5793805525445</v>
      </c>
      <c r="AR89" s="14">
        <f t="shared" si="13"/>
        <v>846.71544989783922</v>
      </c>
      <c r="AS89" s="14">
        <f t="shared" si="13"/>
        <v>43.500585002569061</v>
      </c>
      <c r="AT89" s="14">
        <f t="shared" si="13"/>
        <v>130.85667577417419</v>
      </c>
      <c r="AU89" s="14">
        <f t="shared" si="13"/>
        <v>2818.0709895998912</v>
      </c>
      <c r="AV89" s="14">
        <f t="shared" si="13"/>
        <v>134.41382540008266</v>
      </c>
      <c r="AW89" s="14">
        <f t="shared" si="13"/>
        <v>8831.932250411659</v>
      </c>
      <c r="AX89" s="14">
        <f t="shared" si="13"/>
        <v>2617.953208105183</v>
      </c>
      <c r="AY89" s="14">
        <f t="shared" si="13"/>
        <v>1066.6977351199837</v>
      </c>
      <c r="AZ89" s="14">
        <f t="shared" si="13"/>
        <v>1574.9296143504396</v>
      </c>
      <c r="BA89" s="14">
        <f t="shared" si="13"/>
        <v>1412.737348638645</v>
      </c>
      <c r="BB89" s="14">
        <f t="shared" si="13"/>
        <v>2683.5952728387438</v>
      </c>
      <c r="BC89" s="14">
        <f t="shared" si="13"/>
        <v>1297.2512519961119</v>
      </c>
      <c r="BD89" s="14">
        <f t="shared" si="13"/>
        <v>1714.4276724734773</v>
      </c>
      <c r="BE89" s="14">
        <f t="shared" si="13"/>
        <v>2241.4271833958301</v>
      </c>
      <c r="BF89" s="14">
        <f t="shared" si="13"/>
        <v>2351.822082371074</v>
      </c>
      <c r="BG89" s="14">
        <f t="shared" si="13"/>
        <v>494.79834016985916</v>
      </c>
      <c r="BH89" s="14">
        <f t="shared" si="13"/>
        <v>16714.982691606376</v>
      </c>
      <c r="BI89" s="14">
        <f t="shared" si="13"/>
        <v>2112.8528259880718</v>
      </c>
      <c r="BJ89" s="14">
        <f t="shared" si="14"/>
        <v>1760.9372772322299</v>
      </c>
      <c r="BK89" s="14">
        <f t="shared" si="14"/>
        <v>426.73259329173993</v>
      </c>
      <c r="BL89" s="14">
        <f t="shared" si="14"/>
        <v>5091.4196648929792</v>
      </c>
      <c r="BM89" s="14">
        <f t="shared" si="14"/>
        <v>10026.947635594248</v>
      </c>
      <c r="BN89" s="14">
        <f t="shared" si="14"/>
        <v>2321.9343169139252</v>
      </c>
      <c r="BO89" s="14">
        <f t="shared" si="14"/>
        <v>299.87512809196841</v>
      </c>
      <c r="BP89" s="1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</row>
    <row r="90" spans="1:100" customFormat="1">
      <c r="A90" s="20" t="s">
        <v>9</v>
      </c>
      <c r="B90" s="21" t="s">
        <v>6</v>
      </c>
      <c r="C90" s="14">
        <f t="shared" si="13"/>
        <v>7830.7550963997464</v>
      </c>
      <c r="D90" s="14">
        <f t="shared" si="13"/>
        <v>5481.2606813182274</v>
      </c>
      <c r="E90" s="14">
        <f t="shared" si="13"/>
        <v>22192.628411831756</v>
      </c>
      <c r="F90" s="14">
        <f t="shared" si="13"/>
        <v>42441.729989301894</v>
      </c>
      <c r="G90" s="14">
        <f t="shared" si="13"/>
        <v>45283.378499623694</v>
      </c>
      <c r="H90" s="14">
        <f t="shared" si="13"/>
        <v>22601.767091309226</v>
      </c>
      <c r="I90" s="14">
        <f t="shared" si="13"/>
        <v>22618.967190299907</v>
      </c>
      <c r="J90" s="14">
        <f t="shared" si="13"/>
        <v>46683.136693163709</v>
      </c>
      <c r="K90" s="14">
        <f t="shared" si="13"/>
        <v>17214.918655506975</v>
      </c>
      <c r="L90" s="14">
        <f t="shared" si="13"/>
        <v>10730.029515657287</v>
      </c>
      <c r="M90" s="14">
        <f t="shared" si="13"/>
        <v>17263.167767152256</v>
      </c>
      <c r="N90" s="14">
        <f t="shared" si="13"/>
        <v>2322.9547523339866</v>
      </c>
      <c r="O90" s="14">
        <f t="shared" si="13"/>
        <v>4410.0736758565272</v>
      </c>
      <c r="P90" s="14">
        <f t="shared" si="13"/>
        <v>1047.2114047402374</v>
      </c>
      <c r="Q90" s="14">
        <f t="shared" si="13"/>
        <v>1469.7370176559966</v>
      </c>
      <c r="R90" s="14">
        <f t="shared" si="13"/>
        <v>139.66428502274391</v>
      </c>
      <c r="S90" s="14">
        <f t="shared" si="13"/>
        <v>12334.670486922219</v>
      </c>
      <c r="T90" s="14">
        <f t="shared" si="13"/>
        <v>1181.0823989351477</v>
      </c>
      <c r="U90" s="14">
        <f t="shared" si="13"/>
        <v>45204.460550449869</v>
      </c>
      <c r="V90" s="14">
        <f t="shared" si="13"/>
        <v>39775.515622278588</v>
      </c>
      <c r="W90" s="14">
        <f t="shared" si="13"/>
        <v>9621.4993388466992</v>
      </c>
      <c r="X90" s="14">
        <f t="shared" si="13"/>
        <v>8674.3547952927875</v>
      </c>
      <c r="Y90" s="14">
        <f t="shared" si="13"/>
        <v>23604.933842107923</v>
      </c>
      <c r="Z90" s="14">
        <f t="shared" si="13"/>
        <v>1218.404592583327</v>
      </c>
      <c r="AA90" s="14">
        <f t="shared" si="13"/>
        <v>10133.750797851259</v>
      </c>
      <c r="AB90" s="14">
        <f t="shared" si="13"/>
        <v>7818.4580200475702</v>
      </c>
      <c r="AC90" s="14">
        <f t="shared" si="13"/>
        <v>18477.572458494105</v>
      </c>
      <c r="AD90" s="14">
        <f t="shared" si="13"/>
        <v>450.42122391753469</v>
      </c>
      <c r="AE90" s="14">
        <f t="shared" si="13"/>
        <v>19174.065801940407</v>
      </c>
      <c r="AF90" s="14">
        <f t="shared" si="13"/>
        <v>1058.8890665363676</v>
      </c>
      <c r="AG90" s="14">
        <f t="shared" si="13"/>
        <v>16419.664256813019</v>
      </c>
      <c r="AH90" s="14">
        <f t="shared" si="13"/>
        <v>16.001255050551123</v>
      </c>
      <c r="AI90" s="14">
        <f t="shared" si="13"/>
        <v>6475.7966047057125</v>
      </c>
      <c r="AJ90" s="14">
        <f t="shared" si="13"/>
        <v>3492.0984398483192</v>
      </c>
      <c r="AK90" s="14">
        <f t="shared" si="13"/>
        <v>3269.4536453942897</v>
      </c>
      <c r="AL90" s="14">
        <f t="shared" si="13"/>
        <v>7795.694617391162</v>
      </c>
      <c r="AM90" s="14">
        <f t="shared" si="13"/>
        <v>3018.1862299047443</v>
      </c>
      <c r="AN90" s="14">
        <f t="shared" si="13"/>
        <v>14476.719185732669</v>
      </c>
      <c r="AO90" s="14">
        <f t="shared" si="13"/>
        <v>167.98239675967824</v>
      </c>
      <c r="AP90" s="14">
        <f t="shared" si="13"/>
        <v>1225.0258803464683</v>
      </c>
      <c r="AQ90" s="14">
        <f t="shared" si="13"/>
        <v>165.41215068243056</v>
      </c>
      <c r="AR90" s="14">
        <f t="shared" si="13"/>
        <v>254.38204328606477</v>
      </c>
      <c r="AS90" s="14">
        <f t="shared" si="13"/>
        <v>10320.605893875359</v>
      </c>
      <c r="AT90" s="14">
        <f t="shared" si="13"/>
        <v>2285.3281248093936</v>
      </c>
      <c r="AU90" s="14">
        <f t="shared" si="13"/>
        <v>15166.149495238556</v>
      </c>
      <c r="AV90" s="14">
        <f t="shared" si="13"/>
        <v>134.6355140776127</v>
      </c>
      <c r="AW90" s="14">
        <f t="shared" si="13"/>
        <v>3993.7510808225038</v>
      </c>
      <c r="AX90" s="14">
        <f t="shared" si="13"/>
        <v>530.49626008631594</v>
      </c>
      <c r="AY90" s="14">
        <f t="shared" si="13"/>
        <v>3865.9418581227551</v>
      </c>
      <c r="AZ90" s="14">
        <f t="shared" si="13"/>
        <v>8052.3126762604597</v>
      </c>
      <c r="BA90" s="14">
        <f t="shared" si="13"/>
        <v>37611.825045925674</v>
      </c>
      <c r="BB90" s="14">
        <f t="shared" si="13"/>
        <v>16816.275109361541</v>
      </c>
      <c r="BC90" s="14">
        <f t="shared" si="13"/>
        <v>14084.26792631697</v>
      </c>
      <c r="BD90" s="14">
        <f t="shared" si="13"/>
        <v>20343.674378594158</v>
      </c>
      <c r="BE90" s="14">
        <f t="shared" si="13"/>
        <v>16535.450644118609</v>
      </c>
      <c r="BF90" s="14">
        <f t="shared" si="13"/>
        <v>21719.174794487906</v>
      </c>
      <c r="BG90" s="14">
        <f t="shared" si="13"/>
        <v>9248.4158991720506</v>
      </c>
      <c r="BH90" s="14">
        <f t="shared" si="13"/>
        <v>20118.259574988639</v>
      </c>
      <c r="BI90" s="14">
        <f t="shared" si="13"/>
        <v>31629.702059050138</v>
      </c>
      <c r="BJ90" s="14">
        <f t="shared" si="14"/>
        <v>32719.730236333056</v>
      </c>
      <c r="BK90" s="14">
        <f t="shared" si="14"/>
        <v>14373.478702089253</v>
      </c>
      <c r="BL90" s="14">
        <f t="shared" si="14"/>
        <v>16887.330127069323</v>
      </c>
      <c r="BM90" s="14">
        <f t="shared" si="14"/>
        <v>43388.092080663482</v>
      </c>
      <c r="BN90" s="14">
        <f t="shared" si="14"/>
        <v>14597.58583931147</v>
      </c>
      <c r="BO90" s="14">
        <f t="shared" si="14"/>
        <v>11349.928600034535</v>
      </c>
      <c r="BP90" s="1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</row>
    <row r="91" spans="1:100" customFormat="1">
      <c r="A91" s="20" t="s">
        <v>10</v>
      </c>
      <c r="B91" s="21" t="s">
        <v>6</v>
      </c>
      <c r="C91" s="14">
        <f t="shared" si="13"/>
        <v>23690.436045598261</v>
      </c>
      <c r="D91" s="14">
        <f t="shared" si="13"/>
        <v>9144.0908460003357</v>
      </c>
      <c r="E91" s="14">
        <f t="shared" si="13"/>
        <v>10611.059778325283</v>
      </c>
      <c r="F91" s="14">
        <f t="shared" si="13"/>
        <v>19399.361283437211</v>
      </c>
      <c r="G91" s="14">
        <f t="shared" si="13"/>
        <v>9164.0372042197414</v>
      </c>
      <c r="H91" s="14">
        <f t="shared" si="13"/>
        <v>3803.7951940650319</v>
      </c>
      <c r="I91" s="14">
        <f t="shared" si="13"/>
        <v>4341.651715801182</v>
      </c>
      <c r="J91" s="14">
        <f t="shared" si="13"/>
        <v>12510.171008769701</v>
      </c>
      <c r="K91" s="14">
        <f t="shared" si="13"/>
        <v>6606.2477160055414</v>
      </c>
      <c r="L91" s="14">
        <f t="shared" si="13"/>
        <v>48681.971039639553</v>
      </c>
      <c r="M91" s="14">
        <f t="shared" ref="M91:BI98" si="15">M72+M42</f>
        <v>88906.347722238177</v>
      </c>
      <c r="N91" s="14">
        <f t="shared" si="15"/>
        <v>1288.3913687127126</v>
      </c>
      <c r="O91" s="14">
        <f t="shared" si="15"/>
        <v>18494.822710990386</v>
      </c>
      <c r="P91" s="14">
        <f t="shared" si="15"/>
        <v>45958.462933079485</v>
      </c>
      <c r="Q91" s="14">
        <f t="shared" si="15"/>
        <v>20802.212132950401</v>
      </c>
      <c r="R91" s="14">
        <f t="shared" si="15"/>
        <v>3460.8887007571948</v>
      </c>
      <c r="S91" s="14">
        <f t="shared" si="15"/>
        <v>49596.586339526657</v>
      </c>
      <c r="T91" s="14">
        <f t="shared" si="15"/>
        <v>1003.1330763660112</v>
      </c>
      <c r="U91" s="14">
        <f t="shared" si="15"/>
        <v>31201.348464320523</v>
      </c>
      <c r="V91" s="14">
        <f t="shared" si="15"/>
        <v>65959.707128995098</v>
      </c>
      <c r="W91" s="14">
        <f t="shared" si="15"/>
        <v>6116.5031589907903</v>
      </c>
      <c r="X91" s="14">
        <f t="shared" si="15"/>
        <v>3144.7587271025322</v>
      </c>
      <c r="Y91" s="14">
        <f t="shared" si="15"/>
        <v>9689.8819904932843</v>
      </c>
      <c r="Z91" s="14">
        <f t="shared" si="15"/>
        <v>1247.2937837280574</v>
      </c>
      <c r="AA91" s="14">
        <f t="shared" si="15"/>
        <v>3161.5460908547971</v>
      </c>
      <c r="AB91" s="14">
        <f t="shared" si="15"/>
        <v>3253.0734078066666</v>
      </c>
      <c r="AC91" s="14">
        <f t="shared" si="15"/>
        <v>2628.1760299442285</v>
      </c>
      <c r="AD91" s="14">
        <f t="shared" si="15"/>
        <v>5812.0811205430246</v>
      </c>
      <c r="AE91" s="14">
        <f t="shared" si="15"/>
        <v>4250.2942330387668</v>
      </c>
      <c r="AF91" s="14">
        <f t="shared" si="15"/>
        <v>3290.277829851987</v>
      </c>
      <c r="AG91" s="14">
        <f t="shared" si="15"/>
        <v>2951.6659876764197</v>
      </c>
      <c r="AH91" s="14">
        <f t="shared" si="15"/>
        <v>8101.8799197985127</v>
      </c>
      <c r="AI91" s="14">
        <f t="shared" si="15"/>
        <v>5276.9571785831513</v>
      </c>
      <c r="AJ91" s="14">
        <f t="shared" si="15"/>
        <v>2195.208410664718</v>
      </c>
      <c r="AK91" s="14">
        <f t="shared" si="15"/>
        <v>16369.606506539667</v>
      </c>
      <c r="AL91" s="14">
        <f t="shared" si="15"/>
        <v>7687.082303806189</v>
      </c>
      <c r="AM91" s="14">
        <f t="shared" si="15"/>
        <v>2122.4557909694413</v>
      </c>
      <c r="AN91" s="14">
        <f t="shared" si="15"/>
        <v>3877.3811278682806</v>
      </c>
      <c r="AO91" s="14">
        <f t="shared" si="15"/>
        <v>16555.331425223045</v>
      </c>
      <c r="AP91" s="14">
        <f t="shared" si="15"/>
        <v>18588.551518345481</v>
      </c>
      <c r="AQ91" s="14">
        <f t="shared" si="15"/>
        <v>13487.629314593798</v>
      </c>
      <c r="AR91" s="14">
        <f t="shared" si="15"/>
        <v>18258.619460445389</v>
      </c>
      <c r="AS91" s="14">
        <f t="shared" si="15"/>
        <v>10906.392566408291</v>
      </c>
      <c r="AT91" s="14">
        <f t="shared" si="15"/>
        <v>2854.1574771923401</v>
      </c>
      <c r="AU91" s="14">
        <f t="shared" si="15"/>
        <v>12162.204575217913</v>
      </c>
      <c r="AV91" s="14">
        <f t="shared" si="15"/>
        <v>1506.0897595048741</v>
      </c>
      <c r="AW91" s="14">
        <f t="shared" si="15"/>
        <v>2816.9238315711636</v>
      </c>
      <c r="AX91" s="14">
        <f t="shared" si="15"/>
        <v>62.002055011861451</v>
      </c>
      <c r="AY91" s="14">
        <f t="shared" si="15"/>
        <v>8982.8558302759429</v>
      </c>
      <c r="AZ91" s="14">
        <f t="shared" si="15"/>
        <v>195.47998274206336</v>
      </c>
      <c r="BA91" s="14">
        <f t="shared" si="15"/>
        <v>5408.5030960945423</v>
      </c>
      <c r="BB91" s="14">
        <f t="shared" si="15"/>
        <v>5548.1572873462783</v>
      </c>
      <c r="BC91" s="14">
        <f t="shared" si="15"/>
        <v>7140.3510493006906</v>
      </c>
      <c r="BD91" s="14">
        <f t="shared" si="15"/>
        <v>2067.164101253974</v>
      </c>
      <c r="BE91" s="14">
        <f t="shared" si="15"/>
        <v>6414.2942773810009</v>
      </c>
      <c r="BF91" s="14">
        <f t="shared" si="15"/>
        <v>415.28976533894883</v>
      </c>
      <c r="BG91" s="14">
        <f t="shared" si="15"/>
        <v>39.395190645745089</v>
      </c>
      <c r="BH91" s="14">
        <f t="shared" si="15"/>
        <v>2773.1169320550007</v>
      </c>
      <c r="BI91" s="14">
        <f t="shared" si="15"/>
        <v>3478.9421046973725</v>
      </c>
      <c r="BJ91" s="14">
        <f t="shared" si="14"/>
        <v>162.90806997027977</v>
      </c>
      <c r="BK91" s="14">
        <f t="shared" si="14"/>
        <v>10.893520082369541</v>
      </c>
      <c r="BL91" s="14">
        <f t="shared" si="14"/>
        <v>4911.9943293063307</v>
      </c>
      <c r="BM91" s="14">
        <f t="shared" si="14"/>
        <v>1574.7188534244269</v>
      </c>
      <c r="BN91" s="14">
        <f t="shared" si="14"/>
        <v>1306.2500993452948</v>
      </c>
      <c r="BO91" s="14">
        <f t="shared" si="14"/>
        <v>221.46443104638496</v>
      </c>
      <c r="BP91" s="1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customFormat="1">
      <c r="A92" s="20" t="s">
        <v>10</v>
      </c>
      <c r="B92" s="21" t="s">
        <v>8</v>
      </c>
      <c r="C92" s="14">
        <f t="shared" ref="C92:AJ99" si="16">C73+C43</f>
        <v>30388.12849098524</v>
      </c>
      <c r="D92" s="14">
        <f t="shared" si="16"/>
        <v>6183.7076660535931</v>
      </c>
      <c r="E92" s="14">
        <f t="shared" si="16"/>
        <v>13957.849500638891</v>
      </c>
      <c r="F92" s="14">
        <f t="shared" si="16"/>
        <v>50145.059917804545</v>
      </c>
      <c r="G92" s="14">
        <f t="shared" si="16"/>
        <v>45621.432171416425</v>
      </c>
      <c r="H92" s="14">
        <f t="shared" si="16"/>
        <v>29953.235409239565</v>
      </c>
      <c r="I92" s="14">
        <f t="shared" si="16"/>
        <v>8630.8039760821412</v>
      </c>
      <c r="J92" s="14">
        <f t="shared" si="16"/>
        <v>19249.485583166785</v>
      </c>
      <c r="K92" s="14">
        <f t="shared" si="16"/>
        <v>16601.594232836891</v>
      </c>
      <c r="L92" s="14">
        <f t="shared" si="16"/>
        <v>32512.394070377886</v>
      </c>
      <c r="M92" s="14">
        <f t="shared" si="16"/>
        <v>36885.648240169947</v>
      </c>
      <c r="N92" s="14">
        <f t="shared" si="16"/>
        <v>4495.9046579243395</v>
      </c>
      <c r="O92" s="14">
        <f t="shared" si="16"/>
        <v>14948.101867890153</v>
      </c>
      <c r="P92" s="14">
        <f t="shared" si="16"/>
        <v>30796.757170087607</v>
      </c>
      <c r="Q92" s="14">
        <f t="shared" si="16"/>
        <v>98377.733239492067</v>
      </c>
      <c r="R92" s="14">
        <f t="shared" si="16"/>
        <v>29131.045133831918</v>
      </c>
      <c r="S92" s="14">
        <f t="shared" si="16"/>
        <v>167415.15826777139</v>
      </c>
      <c r="T92" s="14">
        <f t="shared" si="16"/>
        <v>22032.509324418999</v>
      </c>
      <c r="U92" s="14">
        <f t="shared" si="16"/>
        <v>88368.733948266803</v>
      </c>
      <c r="V92" s="14">
        <f t="shared" si="16"/>
        <v>142978.00750609103</v>
      </c>
      <c r="W92" s="14">
        <f t="shared" si="16"/>
        <v>31004.579037596173</v>
      </c>
      <c r="X92" s="14">
        <f t="shared" si="16"/>
        <v>25156.999191811083</v>
      </c>
      <c r="Y92" s="14">
        <f t="shared" si="16"/>
        <v>14556.766721525353</v>
      </c>
      <c r="Z92" s="14">
        <f t="shared" si="16"/>
        <v>36588.412866925333</v>
      </c>
      <c r="AA92" s="14">
        <f t="shared" si="16"/>
        <v>27555.260888755711</v>
      </c>
      <c r="AB92" s="14">
        <f t="shared" si="16"/>
        <v>10778.004319262704</v>
      </c>
      <c r="AC92" s="14">
        <f t="shared" si="16"/>
        <v>19528.405326171822</v>
      </c>
      <c r="AD92" s="14">
        <f t="shared" si="16"/>
        <v>17847.610579278538</v>
      </c>
      <c r="AE92" s="14">
        <f t="shared" si="16"/>
        <v>71915.373783070361</v>
      </c>
      <c r="AF92" s="14">
        <f t="shared" si="16"/>
        <v>14604.164661587642</v>
      </c>
      <c r="AG92" s="14">
        <f t="shared" si="16"/>
        <v>20365.519846609342</v>
      </c>
      <c r="AH92" s="14">
        <f t="shared" si="16"/>
        <v>47455.3094581654</v>
      </c>
      <c r="AI92" s="14">
        <f t="shared" si="16"/>
        <v>48932.735288532342</v>
      </c>
      <c r="AJ92" s="14">
        <f t="shared" si="16"/>
        <v>17998.845569998321</v>
      </c>
      <c r="AK92" s="14">
        <f t="shared" si="15"/>
        <v>119297.33936265256</v>
      </c>
      <c r="AL92" s="14">
        <f t="shared" si="15"/>
        <v>8002.5519883078468</v>
      </c>
      <c r="AM92" s="14">
        <f t="shared" si="15"/>
        <v>152485.18149805386</v>
      </c>
      <c r="AN92" s="14">
        <f t="shared" si="15"/>
        <v>13509.470234608951</v>
      </c>
      <c r="AO92" s="14">
        <f t="shared" si="15"/>
        <v>37316.756162158752</v>
      </c>
      <c r="AP92" s="14">
        <f t="shared" si="15"/>
        <v>11251.134695696423</v>
      </c>
      <c r="AQ92" s="14">
        <f t="shared" si="15"/>
        <v>9710.3712470712526</v>
      </c>
      <c r="AR92" s="14">
        <f t="shared" si="15"/>
        <v>15955.144542264537</v>
      </c>
      <c r="AS92" s="14">
        <f t="shared" si="15"/>
        <v>6228.8653711802035</v>
      </c>
      <c r="AT92" s="14">
        <f t="shared" si="15"/>
        <v>5968.6583992291953</v>
      </c>
      <c r="AU92" s="14">
        <f t="shared" si="15"/>
        <v>49503.657272076496</v>
      </c>
      <c r="AV92" s="14">
        <f t="shared" si="15"/>
        <v>6718.8949448480853</v>
      </c>
      <c r="AW92" s="14">
        <f t="shared" si="15"/>
        <v>2908.9857824526034</v>
      </c>
      <c r="AX92" s="14">
        <f t="shared" si="15"/>
        <v>53535.566567199559</v>
      </c>
      <c r="AY92" s="14">
        <f t="shared" si="15"/>
        <v>47368.350411514868</v>
      </c>
      <c r="AZ92" s="14">
        <f t="shared" si="15"/>
        <v>18296.10358085077</v>
      </c>
      <c r="BA92" s="14">
        <f t="shared" si="15"/>
        <v>17001.374262348461</v>
      </c>
      <c r="BB92" s="14">
        <f t="shared" si="15"/>
        <v>19357.581176341126</v>
      </c>
      <c r="BC92" s="14">
        <f t="shared" si="15"/>
        <v>7441.4703158312013</v>
      </c>
      <c r="BD92" s="14">
        <f t="shared" si="15"/>
        <v>29490.645290586224</v>
      </c>
      <c r="BE92" s="14">
        <f t="shared" si="15"/>
        <v>19433.505672009087</v>
      </c>
      <c r="BF92" s="14">
        <f t="shared" si="15"/>
        <v>46552.778580693383</v>
      </c>
      <c r="BG92" s="14">
        <f t="shared" si="15"/>
        <v>3919.2699058059911</v>
      </c>
      <c r="BH92" s="14">
        <f t="shared" si="15"/>
        <v>82889.212150523002</v>
      </c>
      <c r="BI92" s="14">
        <f t="shared" si="15"/>
        <v>34068.525323975919</v>
      </c>
      <c r="BJ92" s="14">
        <f t="shared" si="14"/>
        <v>21395.617360535562</v>
      </c>
      <c r="BK92" s="14">
        <f t="shared" si="14"/>
        <v>12075.044535065832</v>
      </c>
      <c r="BL92" s="14">
        <f t="shared" si="14"/>
        <v>15135.016141228267</v>
      </c>
      <c r="BM92" s="14">
        <f t="shared" si="14"/>
        <v>21139.789152465339</v>
      </c>
      <c r="BN92" s="14">
        <f t="shared" si="14"/>
        <v>9593.4028063665301</v>
      </c>
      <c r="BO92" s="14">
        <f t="shared" si="14"/>
        <v>9916.7839614433142</v>
      </c>
      <c r="BP92" s="1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customFormat="1">
      <c r="A93" s="20" t="s">
        <v>11</v>
      </c>
      <c r="B93" s="21" t="s">
        <v>8</v>
      </c>
      <c r="C93" s="14">
        <f t="shared" si="16"/>
        <v>36025.000179708164</v>
      </c>
      <c r="D93" s="14">
        <f t="shared" si="16"/>
        <v>13304.700597934081</v>
      </c>
      <c r="E93" s="14">
        <f t="shared" si="16"/>
        <v>9388.6747868771727</v>
      </c>
      <c r="F93" s="14">
        <f t="shared" si="16"/>
        <v>113913.92647017354</v>
      </c>
      <c r="G93" s="14">
        <f t="shared" si="16"/>
        <v>32047.97107424034</v>
      </c>
      <c r="H93" s="14">
        <f t="shared" si="16"/>
        <v>24212.534518396227</v>
      </c>
      <c r="I93" s="14">
        <f t="shared" si="16"/>
        <v>9592.5101031518716</v>
      </c>
      <c r="J93" s="14">
        <f t="shared" si="16"/>
        <v>11292.600958601763</v>
      </c>
      <c r="K93" s="14">
        <f t="shared" si="16"/>
        <v>9824.3353277488241</v>
      </c>
      <c r="L93" s="14">
        <f t="shared" si="16"/>
        <v>11711.764236985469</v>
      </c>
      <c r="M93" s="14">
        <f t="shared" si="16"/>
        <v>26300.404887597513</v>
      </c>
      <c r="N93" s="14">
        <f t="shared" si="16"/>
        <v>2799.8038675830244</v>
      </c>
      <c r="O93" s="14">
        <f t="shared" si="16"/>
        <v>12591.823786984991</v>
      </c>
      <c r="P93" s="14">
        <f t="shared" si="16"/>
        <v>13485.71137930152</v>
      </c>
      <c r="Q93" s="14">
        <f t="shared" si="16"/>
        <v>26262.602393614892</v>
      </c>
      <c r="R93" s="14">
        <f t="shared" si="16"/>
        <v>11693.660670018777</v>
      </c>
      <c r="S93" s="14">
        <f t="shared" si="16"/>
        <v>17032.64448553526</v>
      </c>
      <c r="T93" s="14">
        <f t="shared" si="16"/>
        <v>6023.983218443047</v>
      </c>
      <c r="U93" s="14">
        <f t="shared" si="16"/>
        <v>246654.79869235971</v>
      </c>
      <c r="V93" s="14">
        <f t="shared" si="16"/>
        <v>84379.761376556402</v>
      </c>
      <c r="W93" s="14">
        <f t="shared" si="16"/>
        <v>51478.924355653209</v>
      </c>
      <c r="X93" s="14">
        <f t="shared" si="16"/>
        <v>10229.76223342188</v>
      </c>
      <c r="Y93" s="14">
        <f t="shared" si="16"/>
        <v>26781.602554924932</v>
      </c>
      <c r="Z93" s="14">
        <f t="shared" si="16"/>
        <v>96611.432749159649</v>
      </c>
      <c r="AA93" s="14">
        <f t="shared" si="16"/>
        <v>281712.15923023672</v>
      </c>
      <c r="AB93" s="14">
        <f t="shared" si="16"/>
        <v>38803.027042491471</v>
      </c>
      <c r="AC93" s="14">
        <f t="shared" si="16"/>
        <v>199422.26790912438</v>
      </c>
      <c r="AD93" s="14">
        <f t="shared" si="16"/>
        <v>136139.07295854753</v>
      </c>
      <c r="AE93" s="14">
        <f t="shared" si="16"/>
        <v>333286.54236600152</v>
      </c>
      <c r="AF93" s="14">
        <f t="shared" si="16"/>
        <v>89747.78484260531</v>
      </c>
      <c r="AG93" s="14">
        <f t="shared" si="16"/>
        <v>111555.29733054014</v>
      </c>
      <c r="AH93" s="14">
        <f t="shared" si="16"/>
        <v>87976.642727899889</v>
      </c>
      <c r="AI93" s="14">
        <f t="shared" si="16"/>
        <v>387945.14277723862</v>
      </c>
      <c r="AJ93" s="14">
        <f t="shared" si="16"/>
        <v>86365.791585211686</v>
      </c>
      <c r="AK93" s="14">
        <f t="shared" si="15"/>
        <v>183625.56855056281</v>
      </c>
      <c r="AL93" s="14">
        <f t="shared" si="15"/>
        <v>31438.110841808368</v>
      </c>
      <c r="AM93" s="14">
        <f t="shared" si="15"/>
        <v>19123.092048803126</v>
      </c>
      <c r="AN93" s="14">
        <f t="shared" si="15"/>
        <v>50664.475127156504</v>
      </c>
      <c r="AO93" s="14">
        <f t="shared" si="15"/>
        <v>298184.96171780961</v>
      </c>
      <c r="AP93" s="14">
        <f t="shared" si="15"/>
        <v>286781.86358615564</v>
      </c>
      <c r="AQ93" s="14">
        <f t="shared" si="15"/>
        <v>159530.13866437896</v>
      </c>
      <c r="AR93" s="14">
        <f t="shared" si="15"/>
        <v>77304.443673753456</v>
      </c>
      <c r="AS93" s="14">
        <f t="shared" si="15"/>
        <v>28102.206031555317</v>
      </c>
      <c r="AT93" s="14">
        <f t="shared" si="15"/>
        <v>29983.807025840262</v>
      </c>
      <c r="AU93" s="14">
        <f t="shared" si="15"/>
        <v>30663.110708977714</v>
      </c>
      <c r="AV93" s="14">
        <f t="shared" si="15"/>
        <v>11034.689317608761</v>
      </c>
      <c r="AW93" s="14">
        <f t="shared" si="15"/>
        <v>12809.275908514794</v>
      </c>
      <c r="AX93" s="14">
        <f t="shared" si="15"/>
        <v>56352.551951507514</v>
      </c>
      <c r="AY93" s="14">
        <f t="shared" si="15"/>
        <v>71537.361048153223</v>
      </c>
      <c r="AZ93" s="14">
        <f t="shared" si="15"/>
        <v>45049.850032220536</v>
      </c>
      <c r="BA93" s="14">
        <f t="shared" si="15"/>
        <v>1668.3596885701022</v>
      </c>
      <c r="BB93" s="14">
        <f t="shared" si="15"/>
        <v>88059.841544056908</v>
      </c>
      <c r="BC93" s="14">
        <f t="shared" si="15"/>
        <v>68010.408219989535</v>
      </c>
      <c r="BD93" s="14">
        <f t="shared" si="15"/>
        <v>617.2122903923422</v>
      </c>
      <c r="BE93" s="14">
        <f t="shared" si="15"/>
        <v>68880.991286350327</v>
      </c>
      <c r="BF93" s="14">
        <f t="shared" si="15"/>
        <v>93198.490295600554</v>
      </c>
      <c r="BG93" s="14">
        <f t="shared" si="15"/>
        <v>35280.081123486503</v>
      </c>
      <c r="BH93" s="14">
        <f t="shared" si="15"/>
        <v>86481.113905972481</v>
      </c>
      <c r="BI93" s="14">
        <f t="shared" si="15"/>
        <v>126287.16054587239</v>
      </c>
      <c r="BJ93" s="14">
        <f t="shared" si="14"/>
        <v>137095.45714741753</v>
      </c>
      <c r="BK93" s="14">
        <f t="shared" si="14"/>
        <v>60637.090985983908</v>
      </c>
      <c r="BL93" s="14">
        <f t="shared" si="14"/>
        <v>72451.533289977757</v>
      </c>
      <c r="BM93" s="14">
        <f t="shared" si="14"/>
        <v>187508.00003958785</v>
      </c>
      <c r="BN93" s="14">
        <f t="shared" si="14"/>
        <v>61470.042902269161</v>
      </c>
      <c r="BO93" s="14">
        <f t="shared" si="14"/>
        <v>43227.077151094272</v>
      </c>
      <c r="BP93" s="1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customFormat="1">
      <c r="A94" s="20" t="s">
        <v>12</v>
      </c>
      <c r="B94" s="21" t="s">
        <v>8</v>
      </c>
      <c r="C94" s="14">
        <f t="shared" si="16"/>
        <v>36411.723388058541</v>
      </c>
      <c r="D94" s="14">
        <f t="shared" si="16"/>
        <v>5526.0910551366514</v>
      </c>
      <c r="E94" s="14">
        <f t="shared" si="16"/>
        <v>5517.8152370509142</v>
      </c>
      <c r="F94" s="14">
        <f t="shared" si="16"/>
        <v>10056.822895450778</v>
      </c>
      <c r="G94" s="14">
        <f t="shared" si="16"/>
        <v>40014.818063882027</v>
      </c>
      <c r="H94" s="14">
        <f t="shared" si="16"/>
        <v>11566.412715506804</v>
      </c>
      <c r="I94" s="14">
        <f t="shared" si="16"/>
        <v>4316.4420768063555</v>
      </c>
      <c r="J94" s="14">
        <f t="shared" si="16"/>
        <v>5924.8648023005098</v>
      </c>
      <c r="K94" s="14">
        <f t="shared" si="16"/>
        <v>4273.2546431421424</v>
      </c>
      <c r="L94" s="14">
        <f t="shared" si="16"/>
        <v>8177.5849140625842</v>
      </c>
      <c r="M94" s="14">
        <f t="shared" si="16"/>
        <v>7566.6519696769665</v>
      </c>
      <c r="N94" s="14">
        <f t="shared" si="16"/>
        <v>2908.7973124442792</v>
      </c>
      <c r="O94" s="14">
        <f t="shared" si="16"/>
        <v>6129.0652248931292</v>
      </c>
      <c r="P94" s="14">
        <f t="shared" si="16"/>
        <v>9646.0068597522368</v>
      </c>
      <c r="Q94" s="14">
        <f t="shared" si="16"/>
        <v>23687.673225127452</v>
      </c>
      <c r="R94" s="14">
        <f t="shared" si="16"/>
        <v>11175.692579170878</v>
      </c>
      <c r="S94" s="14">
        <f t="shared" si="16"/>
        <v>11192.189277325277</v>
      </c>
      <c r="T94" s="14">
        <f t="shared" si="16"/>
        <v>6278.2851818164663</v>
      </c>
      <c r="U94" s="14">
        <f t="shared" si="16"/>
        <v>33551.157804026458</v>
      </c>
      <c r="V94" s="14">
        <f t="shared" si="16"/>
        <v>33766.371633455492</v>
      </c>
      <c r="W94" s="14">
        <f t="shared" si="16"/>
        <v>8813.7965790140715</v>
      </c>
      <c r="X94" s="14">
        <f t="shared" si="16"/>
        <v>15676.734822201583</v>
      </c>
      <c r="Y94" s="14">
        <f t="shared" si="16"/>
        <v>12893.943484288326</v>
      </c>
      <c r="Z94" s="14">
        <f t="shared" si="16"/>
        <v>8384.9611499077073</v>
      </c>
      <c r="AA94" s="14">
        <f t="shared" si="16"/>
        <v>12132.845805274075</v>
      </c>
      <c r="AB94" s="14">
        <f t="shared" si="16"/>
        <v>4713.3466761520167</v>
      </c>
      <c r="AC94" s="14">
        <f t="shared" si="16"/>
        <v>11035.78302689878</v>
      </c>
      <c r="AD94" s="14">
        <f t="shared" si="16"/>
        <v>15748.165016022323</v>
      </c>
      <c r="AE94" s="14">
        <f t="shared" si="16"/>
        <v>9607.6503489275892</v>
      </c>
      <c r="AF94" s="14">
        <f t="shared" si="16"/>
        <v>10498.411698260759</v>
      </c>
      <c r="AG94" s="14">
        <f t="shared" si="16"/>
        <v>13975.845860696298</v>
      </c>
      <c r="AH94" s="14">
        <f t="shared" si="16"/>
        <v>10857.496376259403</v>
      </c>
      <c r="AI94" s="14">
        <f t="shared" si="16"/>
        <v>9978.0815325091298</v>
      </c>
      <c r="AJ94" s="14">
        <f t="shared" si="16"/>
        <v>2932.8187676249654</v>
      </c>
      <c r="AK94" s="14">
        <f t="shared" si="15"/>
        <v>3688.7040742525587</v>
      </c>
      <c r="AL94" s="14">
        <f t="shared" si="15"/>
        <v>2820.0380567880406</v>
      </c>
      <c r="AM94" s="14">
        <f t="shared" si="15"/>
        <v>743.84325143384467</v>
      </c>
      <c r="AN94" s="14">
        <f t="shared" si="15"/>
        <v>1824.9037850997447</v>
      </c>
      <c r="AO94" s="14">
        <f t="shared" si="15"/>
        <v>23007.000699341625</v>
      </c>
      <c r="AP94" s="14">
        <f t="shared" si="15"/>
        <v>22009.386621921807</v>
      </c>
      <c r="AQ94" s="14">
        <f t="shared" si="15"/>
        <v>7424.76166769054</v>
      </c>
      <c r="AR94" s="14">
        <f t="shared" si="15"/>
        <v>2409.4056339238923</v>
      </c>
      <c r="AS94" s="14">
        <f t="shared" si="15"/>
        <v>2301.6806187417656</v>
      </c>
      <c r="AT94" s="14">
        <f t="shared" si="15"/>
        <v>2583.1386052221783</v>
      </c>
      <c r="AU94" s="14">
        <f t="shared" si="15"/>
        <v>7305.3563573623369</v>
      </c>
      <c r="AV94" s="14">
        <f t="shared" si="15"/>
        <v>2858.2670032190567</v>
      </c>
      <c r="AW94" s="14">
        <f t="shared" si="15"/>
        <v>1175.564967365131</v>
      </c>
      <c r="AX94" s="14">
        <f t="shared" si="15"/>
        <v>3079.857896954089</v>
      </c>
      <c r="AY94" s="14">
        <f t="shared" si="15"/>
        <v>5094.4440122000615</v>
      </c>
      <c r="AZ94" s="14">
        <f t="shared" si="15"/>
        <v>13919.290178817642</v>
      </c>
      <c r="BA94" s="14">
        <f t="shared" si="15"/>
        <v>17623.580975004494</v>
      </c>
      <c r="BB94" s="14">
        <f t="shared" si="15"/>
        <v>13501.379178395233</v>
      </c>
      <c r="BC94" s="14">
        <f t="shared" si="15"/>
        <v>10885.637460347232</v>
      </c>
      <c r="BD94" s="14">
        <f t="shared" si="15"/>
        <v>2353.0553342003586</v>
      </c>
      <c r="BE94" s="14">
        <f t="shared" si="15"/>
        <v>2242.6368570258301</v>
      </c>
      <c r="BF94" s="14">
        <f t="shared" si="15"/>
        <v>3837.893540729629</v>
      </c>
      <c r="BG94" s="14">
        <f t="shared" si="15"/>
        <v>935.52373745030593</v>
      </c>
      <c r="BH94" s="14">
        <f t="shared" si="15"/>
        <v>10618.092863732234</v>
      </c>
      <c r="BI94" s="14">
        <f t="shared" si="15"/>
        <v>9555.4035322913587</v>
      </c>
      <c r="BJ94" s="14">
        <f t="shared" si="14"/>
        <v>5322.199764312405</v>
      </c>
      <c r="BK94" s="14">
        <f t="shared" si="14"/>
        <v>10607.360356338373</v>
      </c>
      <c r="BL94" s="14">
        <f t="shared" si="14"/>
        <v>11086.533891315945</v>
      </c>
      <c r="BM94" s="14">
        <f t="shared" si="14"/>
        <v>15647.122941246247</v>
      </c>
      <c r="BN94" s="14">
        <f t="shared" si="14"/>
        <v>5025.0916977690777</v>
      </c>
      <c r="BO94" s="14">
        <f t="shared" si="14"/>
        <v>3794.8857800937417</v>
      </c>
      <c r="BP94" s="1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  <row r="95" spans="1:100" customFormat="1">
      <c r="A95" s="20" t="s">
        <v>12</v>
      </c>
      <c r="B95" s="21" t="s">
        <v>13</v>
      </c>
      <c r="C95" s="14">
        <f t="shared" si="16"/>
        <v>479311.78998961265</v>
      </c>
      <c r="D95" s="14">
        <f t="shared" si="16"/>
        <v>240077.45920579642</v>
      </c>
      <c r="E95" s="14">
        <f t="shared" si="16"/>
        <v>189583.99305321154</v>
      </c>
      <c r="F95" s="14">
        <f t="shared" si="16"/>
        <v>201704.55746045199</v>
      </c>
      <c r="G95" s="14">
        <f t="shared" si="16"/>
        <v>350828.43917153985</v>
      </c>
      <c r="H95" s="14">
        <f t="shared" si="16"/>
        <v>333852.20162072818</v>
      </c>
      <c r="I95" s="14">
        <f t="shared" si="16"/>
        <v>331843.08575024782</v>
      </c>
      <c r="J95" s="14">
        <f t="shared" si="16"/>
        <v>127893.41189350915</v>
      </c>
      <c r="K95" s="14">
        <f t="shared" si="16"/>
        <v>149113.6170912591</v>
      </c>
      <c r="L95" s="14">
        <f t="shared" si="16"/>
        <v>242065.08933630207</v>
      </c>
      <c r="M95" s="14">
        <f t="shared" si="16"/>
        <v>140879.66456119434</v>
      </c>
      <c r="N95" s="14">
        <f t="shared" si="16"/>
        <v>42795.653560712643</v>
      </c>
      <c r="O95" s="14">
        <f t="shared" si="16"/>
        <v>154844.44042946081</v>
      </c>
      <c r="P95" s="14">
        <f t="shared" si="16"/>
        <v>149086.39508522471</v>
      </c>
      <c r="Q95" s="14">
        <f t="shared" si="16"/>
        <v>499373.15501151094</v>
      </c>
      <c r="R95" s="14">
        <f t="shared" si="16"/>
        <v>372489.15979750594</v>
      </c>
      <c r="S95" s="14">
        <f t="shared" si="16"/>
        <v>498767.57126180164</v>
      </c>
      <c r="T95" s="14">
        <f t="shared" si="16"/>
        <v>197898.30918924292</v>
      </c>
      <c r="U95" s="14">
        <f t="shared" si="16"/>
        <v>581363.46439003223</v>
      </c>
      <c r="V95" s="14">
        <f t="shared" si="16"/>
        <v>1023361.6453086182</v>
      </c>
      <c r="W95" s="14">
        <f t="shared" si="16"/>
        <v>309843.34571861336</v>
      </c>
      <c r="X95" s="14">
        <f t="shared" si="16"/>
        <v>338192.15722573665</v>
      </c>
      <c r="Y95" s="14">
        <f t="shared" si="16"/>
        <v>435120.94748840074</v>
      </c>
      <c r="Z95" s="14">
        <f t="shared" si="16"/>
        <v>221525.51277837445</v>
      </c>
      <c r="AA95" s="14">
        <f t="shared" si="16"/>
        <v>682569.30459744937</v>
      </c>
      <c r="AB95" s="14">
        <f t="shared" si="16"/>
        <v>229126.98633605734</v>
      </c>
      <c r="AC95" s="14">
        <f t="shared" si="16"/>
        <v>461247.51451985247</v>
      </c>
      <c r="AD95" s="14">
        <f t="shared" si="16"/>
        <v>310144.84280538262</v>
      </c>
      <c r="AE95" s="14">
        <f t="shared" si="16"/>
        <v>725655.06751666381</v>
      </c>
      <c r="AF95" s="14">
        <f t="shared" si="16"/>
        <v>430149.40081901231</v>
      </c>
      <c r="AG95" s="14">
        <f t="shared" si="16"/>
        <v>432269.56648557266</v>
      </c>
      <c r="AH95" s="14">
        <f t="shared" si="16"/>
        <v>1085667.146411784</v>
      </c>
      <c r="AI95" s="14">
        <f t="shared" si="16"/>
        <v>1226446.1859085897</v>
      </c>
      <c r="AJ95" s="14">
        <f t="shared" si="16"/>
        <v>548304.27930145187</v>
      </c>
      <c r="AK95" s="14">
        <f t="shared" si="15"/>
        <v>527267.01064380957</v>
      </c>
      <c r="AL95" s="14">
        <f t="shared" si="15"/>
        <v>358567.69628880243</v>
      </c>
      <c r="AM95" s="14">
        <f t="shared" si="15"/>
        <v>642430.22119262</v>
      </c>
      <c r="AN95" s="14">
        <f t="shared" si="15"/>
        <v>520854.9029504623</v>
      </c>
      <c r="AO95" s="14">
        <f t="shared" si="15"/>
        <v>1102696.9179785391</v>
      </c>
      <c r="AP95" s="14">
        <f t="shared" si="15"/>
        <v>1175949.6715951364</v>
      </c>
      <c r="AQ95" s="14">
        <f t="shared" si="15"/>
        <v>1263089.0478066606</v>
      </c>
      <c r="AR95" s="14">
        <f t="shared" si="15"/>
        <v>332411.343245328</v>
      </c>
      <c r="AS95" s="14">
        <f t="shared" si="15"/>
        <v>189076.25711443409</v>
      </c>
      <c r="AT95" s="14">
        <f t="shared" si="15"/>
        <v>369754.77854070259</v>
      </c>
      <c r="AU95" s="14">
        <f t="shared" si="15"/>
        <v>2241207.9837934324</v>
      </c>
      <c r="AV95" s="14">
        <f t="shared" si="15"/>
        <v>371743.76715140429</v>
      </c>
      <c r="AW95" s="14">
        <f t="shared" si="15"/>
        <v>125238.46614164197</v>
      </c>
      <c r="AX95" s="14">
        <f t="shared" si="15"/>
        <v>517513.04083107633</v>
      </c>
      <c r="AY95" s="14">
        <f t="shared" si="15"/>
        <v>834076.31344312057</v>
      </c>
      <c r="AZ95" s="14">
        <f t="shared" si="15"/>
        <v>523179.19302571227</v>
      </c>
      <c r="BA95" s="14">
        <f t="shared" si="15"/>
        <v>727288.21946957987</v>
      </c>
      <c r="BB95" s="14">
        <f t="shared" si="15"/>
        <v>493343.84012479079</v>
      </c>
      <c r="BC95" s="14">
        <f t="shared" si="15"/>
        <v>643795.82934234804</v>
      </c>
      <c r="BD95" s="14">
        <f t="shared" si="15"/>
        <v>270037.42961530475</v>
      </c>
      <c r="BE95" s="14">
        <f t="shared" si="15"/>
        <v>211426.60278504103</v>
      </c>
      <c r="BF95" s="14">
        <f t="shared" si="15"/>
        <v>280210.69956111285</v>
      </c>
      <c r="BG95" s="14">
        <f t="shared" si="15"/>
        <v>96742.594407280281</v>
      </c>
      <c r="BH95" s="14">
        <f t="shared" si="15"/>
        <v>1022722.2188838525</v>
      </c>
      <c r="BI95" s="14">
        <f t="shared" si="15"/>
        <v>335840.76401004125</v>
      </c>
      <c r="BJ95" s="14">
        <f t="shared" si="14"/>
        <v>353327.42802137067</v>
      </c>
      <c r="BK95" s="14">
        <f t="shared" si="14"/>
        <v>133403.21909171803</v>
      </c>
      <c r="BL95" s="14">
        <f t="shared" si="14"/>
        <v>243486.93057098205</v>
      </c>
      <c r="BM95" s="14">
        <f t="shared" si="14"/>
        <v>709090.19996482576</v>
      </c>
      <c r="BN95" s="14">
        <f t="shared" si="14"/>
        <v>120666.36822551175</v>
      </c>
      <c r="BO95" s="14">
        <f t="shared" si="14"/>
        <v>87226.23381874687</v>
      </c>
      <c r="BP95" s="1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</row>
    <row r="96" spans="1:100" customFormat="1">
      <c r="A96" s="20" t="s">
        <v>12</v>
      </c>
      <c r="B96" s="21" t="s">
        <v>14</v>
      </c>
      <c r="C96" s="14">
        <f t="shared" si="16"/>
        <v>147303.87670245999</v>
      </c>
      <c r="D96" s="14">
        <f t="shared" si="16"/>
        <v>47429.012486213614</v>
      </c>
      <c r="E96" s="14">
        <f t="shared" si="16"/>
        <v>89280.029881426788</v>
      </c>
      <c r="F96" s="14">
        <f t="shared" si="16"/>
        <v>96485.801190721148</v>
      </c>
      <c r="G96" s="14">
        <f t="shared" si="16"/>
        <v>74602.244834045618</v>
      </c>
      <c r="H96" s="14">
        <f t="shared" si="16"/>
        <v>73117.336776405631</v>
      </c>
      <c r="I96" s="14">
        <f t="shared" si="16"/>
        <v>44037.303509513673</v>
      </c>
      <c r="J96" s="14">
        <f t="shared" si="16"/>
        <v>31895.745162945263</v>
      </c>
      <c r="K96" s="14">
        <f t="shared" si="16"/>
        <v>24047.548751354439</v>
      </c>
      <c r="L96" s="14">
        <f t="shared" si="16"/>
        <v>23997.378260838675</v>
      </c>
      <c r="M96" s="14">
        <f t="shared" si="16"/>
        <v>29256.075306490631</v>
      </c>
      <c r="N96" s="14">
        <f t="shared" si="16"/>
        <v>18639.568274034122</v>
      </c>
      <c r="O96" s="14">
        <f t="shared" si="16"/>
        <v>23457.825803882821</v>
      </c>
      <c r="P96" s="14">
        <f t="shared" si="16"/>
        <v>21352.176469829366</v>
      </c>
      <c r="Q96" s="14">
        <f t="shared" si="16"/>
        <v>103059.79497877715</v>
      </c>
      <c r="R96" s="14">
        <f t="shared" si="16"/>
        <v>38647.974882516181</v>
      </c>
      <c r="S96" s="14">
        <f t="shared" si="16"/>
        <v>30251.609623217624</v>
      </c>
      <c r="T96" s="14">
        <f t="shared" si="16"/>
        <v>33713.55706068546</v>
      </c>
      <c r="U96" s="14">
        <f t="shared" si="16"/>
        <v>108596.53595145686</v>
      </c>
      <c r="V96" s="14">
        <f t="shared" si="16"/>
        <v>28606.291546287626</v>
      </c>
      <c r="W96" s="14">
        <f t="shared" si="16"/>
        <v>32245.658646273165</v>
      </c>
      <c r="X96" s="14">
        <f t="shared" si="16"/>
        <v>35370.177394121099</v>
      </c>
      <c r="Y96" s="14">
        <f t="shared" si="16"/>
        <v>30977.331085874233</v>
      </c>
      <c r="Z96" s="14">
        <f t="shared" si="16"/>
        <v>46418.606228333105</v>
      </c>
      <c r="AA96" s="14">
        <f t="shared" si="16"/>
        <v>41147.226978175131</v>
      </c>
      <c r="AB96" s="14">
        <f t="shared" si="16"/>
        <v>25369.549927774504</v>
      </c>
      <c r="AC96" s="14">
        <f t="shared" si="16"/>
        <v>38710.642176693174</v>
      </c>
      <c r="AD96" s="14">
        <f t="shared" si="16"/>
        <v>40032.72228898084</v>
      </c>
      <c r="AE96" s="14">
        <f t="shared" si="16"/>
        <v>45969.782268613926</v>
      </c>
      <c r="AF96" s="14">
        <f t="shared" si="16"/>
        <v>50268.898361766078</v>
      </c>
      <c r="AG96" s="14">
        <f t="shared" si="16"/>
        <v>69256.533466436973</v>
      </c>
      <c r="AH96" s="14">
        <f t="shared" si="16"/>
        <v>79348.050970212629</v>
      </c>
      <c r="AI96" s="14">
        <f t="shared" si="16"/>
        <v>49303.212940566649</v>
      </c>
      <c r="AJ96" s="14">
        <f t="shared" si="16"/>
        <v>28443.315591938841</v>
      </c>
      <c r="AK96" s="14">
        <f t="shared" si="15"/>
        <v>36940.893746658956</v>
      </c>
      <c r="AL96" s="14">
        <f t="shared" si="15"/>
        <v>14188.248253690324</v>
      </c>
      <c r="AM96" s="14">
        <f t="shared" si="15"/>
        <v>37910.419314641556</v>
      </c>
      <c r="AN96" s="14">
        <f t="shared" si="15"/>
        <v>31852.757686641005</v>
      </c>
      <c r="AO96" s="14">
        <f t="shared" si="15"/>
        <v>32297.418839671482</v>
      </c>
      <c r="AP96" s="14">
        <f t="shared" si="15"/>
        <v>105802.87938533784</v>
      </c>
      <c r="AQ96" s="14">
        <f t="shared" si="15"/>
        <v>82255.236516462726</v>
      </c>
      <c r="AR96" s="14">
        <f t="shared" si="15"/>
        <v>33668.995750480914</v>
      </c>
      <c r="AS96" s="14">
        <f t="shared" si="15"/>
        <v>13459.480177227033</v>
      </c>
      <c r="AT96" s="14">
        <f t="shared" si="15"/>
        <v>16587.248748318878</v>
      </c>
      <c r="AU96" s="14">
        <f t="shared" si="15"/>
        <v>102591.21345205531</v>
      </c>
      <c r="AV96" s="14">
        <f t="shared" si="15"/>
        <v>42510.411218276589</v>
      </c>
      <c r="AW96" s="14">
        <f t="shared" si="15"/>
        <v>15007.891153391525</v>
      </c>
      <c r="AX96" s="14">
        <f t="shared" si="15"/>
        <v>77036.021547768571</v>
      </c>
      <c r="AY96" s="14">
        <f t="shared" si="15"/>
        <v>73008.090597685892</v>
      </c>
      <c r="AZ96" s="14">
        <f t="shared" si="15"/>
        <v>62423.056244214276</v>
      </c>
      <c r="BA96" s="14">
        <f t="shared" si="15"/>
        <v>85543.5856293135</v>
      </c>
      <c r="BB96" s="14">
        <f t="shared" si="15"/>
        <v>57462.99675656022</v>
      </c>
      <c r="BC96" s="14">
        <f t="shared" si="15"/>
        <v>50375.92859632257</v>
      </c>
      <c r="BD96" s="14">
        <f t="shared" si="15"/>
        <v>25429.916803892585</v>
      </c>
      <c r="BE96" s="14">
        <f t="shared" si="15"/>
        <v>20003.313018119981</v>
      </c>
      <c r="BF96" s="14">
        <f t="shared" si="15"/>
        <v>31582.289500677762</v>
      </c>
      <c r="BG96" s="14">
        <f t="shared" si="15"/>
        <v>14089.184865148185</v>
      </c>
      <c r="BH96" s="14">
        <f t="shared" si="15"/>
        <v>74494.494523920759</v>
      </c>
      <c r="BI96" s="14">
        <f t="shared" si="15"/>
        <v>69162.153557310448</v>
      </c>
      <c r="BJ96" s="14">
        <f t="shared" si="14"/>
        <v>60386.012408458409</v>
      </c>
      <c r="BK96" s="14">
        <f t="shared" si="14"/>
        <v>16159.934572679469</v>
      </c>
      <c r="BL96" s="14">
        <f t="shared" si="14"/>
        <v>15596.902507720217</v>
      </c>
      <c r="BM96" s="14">
        <f t="shared" si="14"/>
        <v>65132.320946573942</v>
      </c>
      <c r="BN96" s="14">
        <f t="shared" si="14"/>
        <v>19424.938692519478</v>
      </c>
      <c r="BO96" s="14">
        <f t="shared" si="14"/>
        <v>16889.116692834468</v>
      </c>
      <c r="BP96" s="1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</row>
    <row r="97" spans="1:100" customFormat="1">
      <c r="A97" s="20" t="s">
        <v>12</v>
      </c>
      <c r="B97" s="21" t="s">
        <v>15</v>
      </c>
      <c r="C97" s="14">
        <f t="shared" si="16"/>
        <v>296044.12357757729</v>
      </c>
      <c r="D97" s="14">
        <f t="shared" si="16"/>
        <v>72802.031242712488</v>
      </c>
      <c r="E97" s="14">
        <f t="shared" si="16"/>
        <v>59581.115583563995</v>
      </c>
      <c r="F97" s="14">
        <f t="shared" si="16"/>
        <v>86200.680508060599</v>
      </c>
      <c r="G97" s="14">
        <f t="shared" si="16"/>
        <v>193790.79684226387</v>
      </c>
      <c r="H97" s="14">
        <f t="shared" si="16"/>
        <v>283448.49936329632</v>
      </c>
      <c r="I97" s="14">
        <f t="shared" si="16"/>
        <v>142344.91146661152</v>
      </c>
      <c r="J97" s="14">
        <f t="shared" si="16"/>
        <v>102439.80809759235</v>
      </c>
      <c r="K97" s="14">
        <f t="shared" si="16"/>
        <v>63522.4118768638</v>
      </c>
      <c r="L97" s="14">
        <f t="shared" si="16"/>
        <v>21667.84284722474</v>
      </c>
      <c r="M97" s="14">
        <f t="shared" si="16"/>
        <v>32179.097682247386</v>
      </c>
      <c r="N97" s="14">
        <f t="shared" si="16"/>
        <v>9966.9181423454065</v>
      </c>
      <c r="O97" s="14">
        <f t="shared" si="16"/>
        <v>17477.890125606365</v>
      </c>
      <c r="P97" s="14">
        <f t="shared" si="16"/>
        <v>16153.171801975304</v>
      </c>
      <c r="Q97" s="14">
        <f t="shared" si="16"/>
        <v>92426.182833014842</v>
      </c>
      <c r="R97" s="14">
        <f t="shared" si="16"/>
        <v>126274.10356417621</v>
      </c>
      <c r="S97" s="14">
        <f t="shared" si="16"/>
        <v>137926.18078525073</v>
      </c>
      <c r="T97" s="14">
        <f t="shared" si="16"/>
        <v>43687.97614671979</v>
      </c>
      <c r="U97" s="14">
        <f t="shared" si="16"/>
        <v>176085.83363647936</v>
      </c>
      <c r="V97" s="14">
        <f t="shared" si="16"/>
        <v>414785.83379881911</v>
      </c>
      <c r="W97" s="14">
        <f t="shared" si="16"/>
        <v>102752.56230996562</v>
      </c>
      <c r="X97" s="14">
        <f t="shared" si="16"/>
        <v>48341.352944573286</v>
      </c>
      <c r="Y97" s="14">
        <f t="shared" si="16"/>
        <v>55427.302031228057</v>
      </c>
      <c r="Z97" s="14">
        <f t="shared" si="16"/>
        <v>86114.810284941283</v>
      </c>
      <c r="AA97" s="14">
        <f t="shared" si="16"/>
        <v>59649.780860316867</v>
      </c>
      <c r="AB97" s="14">
        <f t="shared" si="16"/>
        <v>27884.824243510982</v>
      </c>
      <c r="AC97" s="14">
        <f t="shared" si="16"/>
        <v>87989.230565598147</v>
      </c>
      <c r="AD97" s="14">
        <f t="shared" si="16"/>
        <v>62468.065733344723</v>
      </c>
      <c r="AE97" s="14">
        <f t="shared" si="16"/>
        <v>56333.517681902755</v>
      </c>
      <c r="AF97" s="14">
        <f t="shared" si="16"/>
        <v>41401.061837694484</v>
      </c>
      <c r="AG97" s="14">
        <f t="shared" si="16"/>
        <v>81236.046966638576</v>
      </c>
      <c r="AH97" s="14">
        <f t="shared" si="16"/>
        <v>136952.33425132951</v>
      </c>
      <c r="AI97" s="14">
        <f t="shared" si="16"/>
        <v>96262.693024971202</v>
      </c>
      <c r="AJ97" s="14">
        <f t="shared" si="16"/>
        <v>105070.81305456937</v>
      </c>
      <c r="AK97" s="14">
        <f t="shared" si="15"/>
        <v>193238.25779083674</v>
      </c>
      <c r="AL97" s="14">
        <f t="shared" si="15"/>
        <v>82451.754632358876</v>
      </c>
      <c r="AM97" s="14">
        <f t="shared" si="15"/>
        <v>220392.77150221623</v>
      </c>
      <c r="AN97" s="14">
        <f t="shared" si="15"/>
        <v>67258.599208228392</v>
      </c>
      <c r="AO97" s="14">
        <f t="shared" si="15"/>
        <v>240130.89958634524</v>
      </c>
      <c r="AP97" s="14">
        <f t="shared" si="15"/>
        <v>343700.63617930631</v>
      </c>
      <c r="AQ97" s="14">
        <f t="shared" si="15"/>
        <v>171320.00717654737</v>
      </c>
      <c r="AR97" s="14">
        <f t="shared" si="15"/>
        <v>50830.564269718489</v>
      </c>
      <c r="AS97" s="14">
        <f t="shared" si="15"/>
        <v>51825.82006732087</v>
      </c>
      <c r="AT97" s="14">
        <f t="shared" si="15"/>
        <v>67841.167562837392</v>
      </c>
      <c r="AU97" s="14">
        <f t="shared" si="15"/>
        <v>215678.99472433029</v>
      </c>
      <c r="AV97" s="14">
        <f t="shared" si="15"/>
        <v>19984.412283875248</v>
      </c>
      <c r="AW97" s="14">
        <f t="shared" si="15"/>
        <v>8649.0399290740552</v>
      </c>
      <c r="AX97" s="14">
        <f t="shared" si="15"/>
        <v>97729.438582546863</v>
      </c>
      <c r="AY97" s="14">
        <f t="shared" si="15"/>
        <v>116870.66256798104</v>
      </c>
      <c r="AZ97" s="14">
        <f t="shared" si="15"/>
        <v>106055.28559803686</v>
      </c>
      <c r="BA97" s="14">
        <f t="shared" si="15"/>
        <v>131374.7897861423</v>
      </c>
      <c r="BB97" s="14">
        <f t="shared" si="15"/>
        <v>108433.76433966294</v>
      </c>
      <c r="BC97" s="14">
        <f t="shared" si="15"/>
        <v>86225.431593578498</v>
      </c>
      <c r="BD97" s="14">
        <f t="shared" si="15"/>
        <v>55480.015935839881</v>
      </c>
      <c r="BE97" s="14">
        <f t="shared" si="15"/>
        <v>27889.701230914776</v>
      </c>
      <c r="BF97" s="14">
        <f t="shared" si="15"/>
        <v>64063.224574137879</v>
      </c>
      <c r="BG97" s="14">
        <f t="shared" si="15"/>
        <v>7598.0031520992507</v>
      </c>
      <c r="BH97" s="14">
        <f t="shared" si="15"/>
        <v>66560.950569035325</v>
      </c>
      <c r="BI97" s="14">
        <f t="shared" si="15"/>
        <v>107599.46961023567</v>
      </c>
      <c r="BJ97" s="14">
        <f t="shared" si="14"/>
        <v>94518.662141455876</v>
      </c>
      <c r="BK97" s="14">
        <f t="shared" si="14"/>
        <v>49511.479840099171</v>
      </c>
      <c r="BL97" s="14">
        <f t="shared" si="14"/>
        <v>46306.060405186385</v>
      </c>
      <c r="BM97" s="14">
        <f t="shared" si="14"/>
        <v>202494.30140691166</v>
      </c>
      <c r="BN97" s="14">
        <f t="shared" si="14"/>
        <v>66223.462730647181</v>
      </c>
      <c r="BO97" s="14">
        <f t="shared" si="14"/>
        <v>8191.2084583474298</v>
      </c>
      <c r="BP97" s="1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</row>
    <row r="98" spans="1:100" customFormat="1">
      <c r="A98" s="20" t="s">
        <v>12</v>
      </c>
      <c r="B98" s="21" t="s">
        <v>16</v>
      </c>
      <c r="C98" s="14">
        <f t="shared" si="16"/>
        <v>787733.44368864794</v>
      </c>
      <c r="D98" s="14">
        <f t="shared" si="16"/>
        <v>123543.55739596346</v>
      </c>
      <c r="E98" s="14">
        <f t="shared" si="16"/>
        <v>130659.40043123087</v>
      </c>
      <c r="F98" s="14">
        <f t="shared" si="16"/>
        <v>186806.62848116612</v>
      </c>
      <c r="G98" s="14">
        <f t="shared" si="16"/>
        <v>414578.74526076333</v>
      </c>
      <c r="H98" s="14">
        <f t="shared" si="16"/>
        <v>71237.262114813304</v>
      </c>
      <c r="I98" s="14">
        <f t="shared" si="16"/>
        <v>44841.622104107504</v>
      </c>
      <c r="J98" s="14">
        <f t="shared" si="16"/>
        <v>28421.084079494209</v>
      </c>
      <c r="K98" s="14">
        <f t="shared" si="16"/>
        <v>28874.360480345269</v>
      </c>
      <c r="L98" s="14">
        <f t="shared" si="16"/>
        <v>27317.90844506272</v>
      </c>
      <c r="M98" s="14">
        <f t="shared" si="16"/>
        <v>39487.7284999029</v>
      </c>
      <c r="N98" s="14">
        <f t="shared" si="16"/>
        <v>34636.676592274787</v>
      </c>
      <c r="O98" s="14">
        <f t="shared" si="16"/>
        <v>142207.55602359254</v>
      </c>
      <c r="P98" s="14">
        <f t="shared" si="16"/>
        <v>52481.849995338605</v>
      </c>
      <c r="Q98" s="14">
        <f t="shared" si="16"/>
        <v>86193.589378958612</v>
      </c>
      <c r="R98" s="14">
        <f t="shared" si="16"/>
        <v>100828.73588534867</v>
      </c>
      <c r="S98" s="14">
        <f t="shared" si="16"/>
        <v>127327.35492792079</v>
      </c>
      <c r="T98" s="14">
        <f t="shared" si="16"/>
        <v>46644.314599014186</v>
      </c>
      <c r="U98" s="14">
        <f t="shared" si="16"/>
        <v>382957.38937600399</v>
      </c>
      <c r="V98" s="14">
        <f t="shared" si="16"/>
        <v>266274.1522004939</v>
      </c>
      <c r="W98" s="14">
        <f t="shared" si="16"/>
        <v>115355.35920617843</v>
      </c>
      <c r="X98" s="14">
        <f t="shared" si="16"/>
        <v>49610.932067594273</v>
      </c>
      <c r="Y98" s="14">
        <f t="shared" si="16"/>
        <v>49866.12186212829</v>
      </c>
      <c r="Z98" s="14">
        <f t="shared" si="16"/>
        <v>104455.65932526863</v>
      </c>
      <c r="AA98" s="14">
        <f t="shared" si="16"/>
        <v>166900.26324371924</v>
      </c>
      <c r="AB98" s="14">
        <f t="shared" si="16"/>
        <v>76582.169947846429</v>
      </c>
      <c r="AC98" s="14">
        <f t="shared" si="16"/>
        <v>126432.89661400538</v>
      </c>
      <c r="AD98" s="14">
        <f t="shared" si="16"/>
        <v>87924.997830955035</v>
      </c>
      <c r="AE98" s="14">
        <f t="shared" si="16"/>
        <v>317836.56836652226</v>
      </c>
      <c r="AF98" s="14">
        <f t="shared" si="16"/>
        <v>123338.7384242119</v>
      </c>
      <c r="AG98" s="14">
        <f t="shared" si="16"/>
        <v>154959.1523900821</v>
      </c>
      <c r="AH98" s="14">
        <f t="shared" si="16"/>
        <v>224841.41821544489</v>
      </c>
      <c r="AI98" s="14">
        <f t="shared" si="16"/>
        <v>89172.705496786832</v>
      </c>
      <c r="AJ98" s="14">
        <f t="shared" si="16"/>
        <v>140345.97991526398</v>
      </c>
      <c r="AK98" s="14">
        <f t="shared" si="15"/>
        <v>197980.05342607759</v>
      </c>
      <c r="AL98" s="14">
        <f t="shared" si="15"/>
        <v>84747.689739543304</v>
      </c>
      <c r="AM98" s="14">
        <f t="shared" si="15"/>
        <v>159928.27542433745</v>
      </c>
      <c r="AN98" s="14">
        <f t="shared" si="15"/>
        <v>136725.85749099136</v>
      </c>
      <c r="AO98" s="14">
        <f t="shared" si="15"/>
        <v>296813.14818339946</v>
      </c>
      <c r="AP98" s="14">
        <f t="shared" si="15"/>
        <v>302532.17437859799</v>
      </c>
      <c r="AQ98" s="14">
        <f t="shared" si="15"/>
        <v>139163.0460632185</v>
      </c>
      <c r="AR98" s="14">
        <f t="shared" si="15"/>
        <v>52019.978642292161</v>
      </c>
      <c r="AS98" s="14">
        <f t="shared" si="15"/>
        <v>71627.180191214458</v>
      </c>
      <c r="AT98" s="14">
        <f t="shared" si="15"/>
        <v>49372.254590115816</v>
      </c>
      <c r="AU98" s="14">
        <f t="shared" si="15"/>
        <v>167858.40998369182</v>
      </c>
      <c r="AV98" s="14">
        <f t="shared" si="15"/>
        <v>61489.38949842313</v>
      </c>
      <c r="AW98" s="14">
        <f t="shared" si="15"/>
        <v>55694.115661829885</v>
      </c>
      <c r="AX98" s="14">
        <f t="shared" si="15"/>
        <v>108859.92666821483</v>
      </c>
      <c r="AY98" s="14">
        <f t="shared" si="15"/>
        <v>95954.279476530675</v>
      </c>
      <c r="AZ98" s="14">
        <f t="shared" si="15"/>
        <v>156115.7627123952</v>
      </c>
      <c r="BA98" s="14">
        <f t="shared" si="15"/>
        <v>206868.59845522622</v>
      </c>
      <c r="BB98" s="14">
        <f t="shared" si="15"/>
        <v>153536.43507799035</v>
      </c>
      <c r="BC98" s="14">
        <f t="shared" si="15"/>
        <v>115143.84966535679</v>
      </c>
      <c r="BD98" s="14">
        <f t="shared" si="15"/>
        <v>54921.778249173185</v>
      </c>
      <c r="BE98" s="14">
        <f t="shared" si="15"/>
        <v>69478.166384222699</v>
      </c>
      <c r="BF98" s="14">
        <f t="shared" si="15"/>
        <v>90772.276063491357</v>
      </c>
      <c r="BG98" s="14">
        <f t="shared" si="15"/>
        <v>17113.611108982088</v>
      </c>
      <c r="BH98" s="14">
        <f t="shared" si="15"/>
        <v>136107.40683990225</v>
      </c>
      <c r="BI98" s="14">
        <f t="shared" si="15"/>
        <v>103139.20176642654</v>
      </c>
      <c r="BJ98" s="14">
        <f t="shared" si="14"/>
        <v>146084.5645192471</v>
      </c>
      <c r="BK98" s="14">
        <f t="shared" si="14"/>
        <v>81287.476274577886</v>
      </c>
      <c r="BL98" s="14">
        <f t="shared" si="14"/>
        <v>97862.470995252312</v>
      </c>
      <c r="BM98" s="14">
        <f t="shared" si="14"/>
        <v>406434.4814317862</v>
      </c>
      <c r="BN98" s="14">
        <f t="shared" si="14"/>
        <v>264405.74967243074</v>
      </c>
      <c r="BO98" s="14">
        <f t="shared" si="14"/>
        <v>253221.08206749416</v>
      </c>
      <c r="BP98" s="1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</row>
    <row r="99" spans="1:100" customFormat="1">
      <c r="A99" s="20" t="s">
        <v>12</v>
      </c>
      <c r="B99" s="21" t="s">
        <v>17</v>
      </c>
      <c r="C99" s="14">
        <f t="shared" si="16"/>
        <v>362384.48179822811</v>
      </c>
      <c r="D99" s="14">
        <f t="shared" si="16"/>
        <v>95585.927808039822</v>
      </c>
      <c r="E99" s="14">
        <f t="shared" si="16"/>
        <v>102935.12869162932</v>
      </c>
      <c r="F99" s="14">
        <f t="shared" si="16"/>
        <v>80099.048282105738</v>
      </c>
      <c r="G99" s="14">
        <f t="shared" si="16"/>
        <v>210225.49467469784</v>
      </c>
      <c r="H99" s="14">
        <f t="shared" si="16"/>
        <v>201091.97250424424</v>
      </c>
      <c r="I99" s="14">
        <f t="shared" si="16"/>
        <v>59003.474704432614</v>
      </c>
      <c r="J99" s="14">
        <f t="shared" si="16"/>
        <v>90311.156185706379</v>
      </c>
      <c r="K99" s="14">
        <f t="shared" si="16"/>
        <v>155624.32282183418</v>
      </c>
      <c r="L99" s="14">
        <f t="shared" ref="L99:BI99" si="17">L80+L50</f>
        <v>80160.965181945037</v>
      </c>
      <c r="M99" s="14">
        <f t="shared" si="17"/>
        <v>50971.018322986907</v>
      </c>
      <c r="N99" s="14">
        <f t="shared" si="17"/>
        <v>45027.670213904406</v>
      </c>
      <c r="O99" s="14">
        <f t="shared" si="17"/>
        <v>92613.035154515033</v>
      </c>
      <c r="P99" s="14">
        <f t="shared" si="17"/>
        <v>103521.70047465047</v>
      </c>
      <c r="Q99" s="14">
        <f t="shared" si="17"/>
        <v>171622.94369648484</v>
      </c>
      <c r="R99" s="14">
        <f t="shared" si="17"/>
        <v>137625.89114903091</v>
      </c>
      <c r="S99" s="14">
        <f t="shared" si="17"/>
        <v>71003.519036449521</v>
      </c>
      <c r="T99" s="14">
        <f t="shared" si="17"/>
        <v>21605.121991540993</v>
      </c>
      <c r="U99" s="14">
        <f t="shared" si="17"/>
        <v>243661.65369970101</v>
      </c>
      <c r="V99" s="14">
        <f t="shared" si="17"/>
        <v>248287.02650748641</v>
      </c>
      <c r="W99" s="14">
        <f t="shared" si="17"/>
        <v>113241.08029902424</v>
      </c>
      <c r="X99" s="14">
        <f t="shared" si="17"/>
        <v>95234.277675208752</v>
      </c>
      <c r="Y99" s="14">
        <f t="shared" si="17"/>
        <v>104047.11882474975</v>
      </c>
      <c r="Z99" s="14">
        <f t="shared" si="17"/>
        <v>97471.392084398409</v>
      </c>
      <c r="AA99" s="14">
        <f t="shared" si="17"/>
        <v>303264.33185728826</v>
      </c>
      <c r="AB99" s="14">
        <f t="shared" si="17"/>
        <v>32882.227013237083</v>
      </c>
      <c r="AC99" s="14">
        <f t="shared" si="17"/>
        <v>177287.15835750187</v>
      </c>
      <c r="AD99" s="14">
        <f t="shared" si="17"/>
        <v>81827.418490528449</v>
      </c>
      <c r="AE99" s="14">
        <f t="shared" si="17"/>
        <v>233398.64512942976</v>
      </c>
      <c r="AF99" s="14">
        <f t="shared" si="17"/>
        <v>91823.052321517389</v>
      </c>
      <c r="AG99" s="14">
        <f t="shared" si="17"/>
        <v>97852.496545246249</v>
      </c>
      <c r="AH99" s="14">
        <f t="shared" si="17"/>
        <v>326552.38144899567</v>
      </c>
      <c r="AI99" s="14">
        <f t="shared" si="17"/>
        <v>145369.88295139087</v>
      </c>
      <c r="AJ99" s="14">
        <f t="shared" si="17"/>
        <v>268626.66453112673</v>
      </c>
      <c r="AK99" s="14">
        <f t="shared" si="17"/>
        <v>480660.44167281711</v>
      </c>
      <c r="AL99" s="14">
        <f t="shared" si="17"/>
        <v>95933.973845038767</v>
      </c>
      <c r="AM99" s="14">
        <f t="shared" si="17"/>
        <v>331947.5782743342</v>
      </c>
      <c r="AN99" s="14">
        <f t="shared" si="17"/>
        <v>389805.20571057347</v>
      </c>
      <c r="AO99" s="14">
        <f t="shared" si="17"/>
        <v>403712.74261428497</v>
      </c>
      <c r="AP99" s="14">
        <f t="shared" si="17"/>
        <v>559263.12837424129</v>
      </c>
      <c r="AQ99" s="14">
        <f t="shared" si="17"/>
        <v>217582.90294121997</v>
      </c>
      <c r="AR99" s="14">
        <f t="shared" si="17"/>
        <v>84634.554054248438</v>
      </c>
      <c r="AS99" s="14">
        <f t="shared" si="17"/>
        <v>94821.720109418835</v>
      </c>
      <c r="AT99" s="14">
        <f t="shared" si="17"/>
        <v>56947.320755242086</v>
      </c>
      <c r="AU99" s="14">
        <f t="shared" si="17"/>
        <v>191105.722491564</v>
      </c>
      <c r="AV99" s="14">
        <f t="shared" si="17"/>
        <v>40168.176891735871</v>
      </c>
      <c r="AW99" s="14">
        <f t="shared" si="17"/>
        <v>36397.072416371193</v>
      </c>
      <c r="AX99" s="14">
        <f t="shared" si="17"/>
        <v>155864.88963262725</v>
      </c>
      <c r="AY99" s="14">
        <f t="shared" si="17"/>
        <v>246953.82058407995</v>
      </c>
      <c r="AZ99" s="14">
        <f t="shared" si="17"/>
        <v>230503.22393294223</v>
      </c>
      <c r="BA99" s="14">
        <f t="shared" si="17"/>
        <v>305446.74605676124</v>
      </c>
      <c r="BB99" s="14">
        <f t="shared" si="17"/>
        <v>208835.24075042945</v>
      </c>
      <c r="BC99" s="14">
        <f t="shared" si="17"/>
        <v>281602.94125408772</v>
      </c>
      <c r="BD99" s="14">
        <f t="shared" si="17"/>
        <v>412027.05890094873</v>
      </c>
      <c r="BE99" s="14">
        <f t="shared" si="17"/>
        <v>210481.25901416451</v>
      </c>
      <c r="BF99" s="14">
        <f t="shared" si="17"/>
        <v>201933.43168404867</v>
      </c>
      <c r="BG99" s="14">
        <f t="shared" si="17"/>
        <v>193537.08182618415</v>
      </c>
      <c r="BH99" s="14">
        <f t="shared" si="17"/>
        <v>208922.3896168457</v>
      </c>
      <c r="BI99" s="14">
        <f t="shared" si="17"/>
        <v>460244.8725712786</v>
      </c>
      <c r="BJ99" s="14">
        <f t="shared" si="14"/>
        <v>185444.88915359037</v>
      </c>
      <c r="BK99" s="14">
        <f t="shared" si="14"/>
        <v>347674.44147110661</v>
      </c>
      <c r="BL99" s="14">
        <f t="shared" si="14"/>
        <v>368777.38203017198</v>
      </c>
      <c r="BM99" s="14">
        <f t="shared" si="14"/>
        <v>669894.35976084834</v>
      </c>
      <c r="BN99" s="14">
        <f t="shared" si="14"/>
        <v>538974.19621382491</v>
      </c>
      <c r="BO99" s="14">
        <f t="shared" si="14"/>
        <v>247122.22095687539</v>
      </c>
      <c r="BP99" s="1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</row>
    <row r="100" spans="1:100" customFormat="1">
      <c r="A100" s="20" t="s">
        <v>12</v>
      </c>
      <c r="B100" s="21" t="s">
        <v>18</v>
      </c>
      <c r="C100" s="14">
        <f t="shared" ref="C100:BI103" si="18">C81+C51</f>
        <v>68326.009464493516</v>
      </c>
      <c r="D100" s="14">
        <f t="shared" si="18"/>
        <v>9056.0456177717206</v>
      </c>
      <c r="E100" s="14">
        <f t="shared" si="18"/>
        <v>9763.9925566512629</v>
      </c>
      <c r="F100" s="14">
        <f t="shared" si="18"/>
        <v>15988.350470580546</v>
      </c>
      <c r="G100" s="14">
        <f t="shared" si="18"/>
        <v>20449.057983162729</v>
      </c>
      <c r="H100" s="14">
        <f t="shared" si="18"/>
        <v>8809.9130642440978</v>
      </c>
      <c r="I100" s="14">
        <f t="shared" si="18"/>
        <v>7682.0899821986186</v>
      </c>
      <c r="J100" s="14">
        <f t="shared" si="18"/>
        <v>14539.002105257694</v>
      </c>
      <c r="K100" s="14">
        <f t="shared" si="18"/>
        <v>12612.280100752712</v>
      </c>
      <c r="L100" s="14">
        <f t="shared" si="18"/>
        <v>7130.9502676885568</v>
      </c>
      <c r="M100" s="14">
        <f t="shared" si="18"/>
        <v>7193.4869434369703</v>
      </c>
      <c r="N100" s="14">
        <f t="shared" si="18"/>
        <v>14049.105684776279</v>
      </c>
      <c r="O100" s="14">
        <f t="shared" si="18"/>
        <v>11183.703311225379</v>
      </c>
      <c r="P100" s="14">
        <f t="shared" si="18"/>
        <v>9225.5520109378122</v>
      </c>
      <c r="Q100" s="14">
        <f t="shared" si="18"/>
        <v>11912.404714126136</v>
      </c>
      <c r="R100" s="14">
        <f t="shared" si="18"/>
        <v>14645.76440450436</v>
      </c>
      <c r="S100" s="14">
        <f t="shared" si="18"/>
        <v>14685.765266729917</v>
      </c>
      <c r="T100" s="14">
        <f t="shared" si="18"/>
        <v>4611.6851219258569</v>
      </c>
      <c r="U100" s="14">
        <f t="shared" si="18"/>
        <v>8948.0798575353147</v>
      </c>
      <c r="V100" s="14">
        <f t="shared" si="18"/>
        <v>23384.637709630246</v>
      </c>
      <c r="W100" s="14">
        <f t="shared" si="18"/>
        <v>10745.523305762401</v>
      </c>
      <c r="X100" s="14">
        <f t="shared" si="18"/>
        <v>2690.686501299997</v>
      </c>
      <c r="Y100" s="14">
        <f t="shared" si="18"/>
        <v>8296.3504573687151</v>
      </c>
      <c r="Z100" s="14">
        <f t="shared" si="18"/>
        <v>8895.8621628044602</v>
      </c>
      <c r="AA100" s="14">
        <f t="shared" si="18"/>
        <v>54723.792123169886</v>
      </c>
      <c r="AB100" s="14">
        <f t="shared" si="18"/>
        <v>9802.8922103444183</v>
      </c>
      <c r="AC100" s="14">
        <f t="shared" si="18"/>
        <v>41088.479828788586</v>
      </c>
      <c r="AD100" s="14">
        <f t="shared" si="18"/>
        <v>36311.274984993019</v>
      </c>
      <c r="AE100" s="14">
        <f t="shared" si="18"/>
        <v>42579.525833547683</v>
      </c>
      <c r="AF100" s="14">
        <f t="shared" si="18"/>
        <v>19965.435581158843</v>
      </c>
      <c r="AG100" s="14">
        <f t="shared" si="18"/>
        <v>26013.722504663743</v>
      </c>
      <c r="AH100" s="14">
        <f t="shared" si="18"/>
        <v>38255.124095563151</v>
      </c>
      <c r="AI100" s="14">
        <f t="shared" si="18"/>
        <v>86665.544832586049</v>
      </c>
      <c r="AJ100" s="14">
        <f t="shared" si="18"/>
        <v>84326.17260863923</v>
      </c>
      <c r="AK100" s="14">
        <f t="shared" si="18"/>
        <v>122263.69386208575</v>
      </c>
      <c r="AL100" s="14">
        <f t="shared" si="18"/>
        <v>41696.560322436926</v>
      </c>
      <c r="AM100" s="14">
        <f t="shared" si="18"/>
        <v>257911.89540384259</v>
      </c>
      <c r="AN100" s="14">
        <f t="shared" si="18"/>
        <v>131335.0995704027</v>
      </c>
      <c r="AO100" s="14">
        <f t="shared" si="18"/>
        <v>169272.92045657543</v>
      </c>
      <c r="AP100" s="14">
        <f t="shared" si="18"/>
        <v>147478.97465555673</v>
      </c>
      <c r="AQ100" s="14">
        <f t="shared" si="18"/>
        <v>223660.4917144833</v>
      </c>
      <c r="AR100" s="14">
        <f t="shared" si="18"/>
        <v>43723.815215449242</v>
      </c>
      <c r="AS100" s="14">
        <f t="shared" si="18"/>
        <v>42612.87320151562</v>
      </c>
      <c r="AT100" s="14">
        <f t="shared" si="18"/>
        <v>54325.193661290505</v>
      </c>
      <c r="AU100" s="14">
        <f t="shared" si="18"/>
        <v>116666.55674792652</v>
      </c>
      <c r="AV100" s="14">
        <f t="shared" si="18"/>
        <v>89265.100160444796</v>
      </c>
      <c r="AW100" s="14">
        <f t="shared" si="18"/>
        <v>13897.064013523546</v>
      </c>
      <c r="AX100" s="14">
        <f t="shared" si="18"/>
        <v>150113.07341986889</v>
      </c>
      <c r="AY100" s="14">
        <f t="shared" si="18"/>
        <v>227656.00297941852</v>
      </c>
      <c r="AZ100" s="14">
        <f t="shared" si="18"/>
        <v>43638.503227508358</v>
      </c>
      <c r="BA100" s="14">
        <f t="shared" si="18"/>
        <v>57646.425200911668</v>
      </c>
      <c r="BB100" s="14">
        <f t="shared" si="18"/>
        <v>39816.109504368069</v>
      </c>
      <c r="BC100" s="14">
        <f t="shared" si="18"/>
        <v>37895.930434640439</v>
      </c>
      <c r="BD100" s="14">
        <f t="shared" si="18"/>
        <v>27179.757537254904</v>
      </c>
      <c r="BE100" s="14">
        <f t="shared" si="18"/>
        <v>43320.536106917534</v>
      </c>
      <c r="BF100" s="14">
        <f t="shared" si="18"/>
        <v>26876.451944271106</v>
      </c>
      <c r="BG100" s="14">
        <f t="shared" si="18"/>
        <v>4472.1055958381612</v>
      </c>
      <c r="BH100" s="14">
        <f t="shared" si="18"/>
        <v>72405.110660111037</v>
      </c>
      <c r="BI100" s="14">
        <f t="shared" si="18"/>
        <v>71547.718000445122</v>
      </c>
      <c r="BJ100" s="14">
        <f t="shared" si="14"/>
        <v>32907.477865781519</v>
      </c>
      <c r="BK100" s="14">
        <f t="shared" si="14"/>
        <v>51909.626448250274</v>
      </c>
      <c r="BL100" s="14">
        <f t="shared" si="14"/>
        <v>83127.724214032496</v>
      </c>
      <c r="BM100" s="14">
        <f t="shared" si="14"/>
        <v>37416.56879133972</v>
      </c>
      <c r="BN100" s="14">
        <f t="shared" si="14"/>
        <v>31759.29382960323</v>
      </c>
      <c r="BO100" s="14">
        <f t="shared" si="14"/>
        <v>86304.740064461148</v>
      </c>
      <c r="BP100" s="1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</row>
    <row r="101" spans="1:100" customFormat="1">
      <c r="A101" s="20" t="s">
        <v>12</v>
      </c>
      <c r="B101" s="21" t="s">
        <v>19</v>
      </c>
      <c r="C101" s="14">
        <f t="shared" si="18"/>
        <v>12537.283604555621</v>
      </c>
      <c r="D101" s="14">
        <f t="shared" si="18"/>
        <v>1770.8963846333788</v>
      </c>
      <c r="E101" s="14">
        <f t="shared" si="18"/>
        <v>3311.6932535881906</v>
      </c>
      <c r="F101" s="14">
        <f t="shared" si="18"/>
        <v>585.06430163632274</v>
      </c>
      <c r="G101" s="14">
        <f t="shared" si="18"/>
        <v>2870.981324091123</v>
      </c>
      <c r="H101" s="14">
        <f t="shared" si="18"/>
        <v>1549.4577672987189</v>
      </c>
      <c r="I101" s="14">
        <f t="shared" si="18"/>
        <v>975.26626527223277</v>
      </c>
      <c r="J101" s="14">
        <f t="shared" si="18"/>
        <v>2396.1989301052799</v>
      </c>
      <c r="K101" s="14">
        <f t="shared" si="18"/>
        <v>952.62790137585978</v>
      </c>
      <c r="L101" s="14">
        <f t="shared" si="18"/>
        <v>5501.7399625409171</v>
      </c>
      <c r="M101" s="14">
        <f t="shared" si="18"/>
        <v>952.30532324135356</v>
      </c>
      <c r="N101" s="14">
        <f t="shared" si="18"/>
        <v>474.87674677161647</v>
      </c>
      <c r="O101" s="14">
        <f t="shared" si="18"/>
        <v>846.49305704733263</v>
      </c>
      <c r="P101" s="14">
        <f t="shared" si="18"/>
        <v>955.23345855393268</v>
      </c>
      <c r="Q101" s="14">
        <f t="shared" si="18"/>
        <v>1102.245727176459</v>
      </c>
      <c r="R101" s="14">
        <f t="shared" si="18"/>
        <v>5774.3350852749136</v>
      </c>
      <c r="S101" s="14">
        <f t="shared" si="18"/>
        <v>6318.6896797266945</v>
      </c>
      <c r="T101" s="14">
        <f t="shared" si="18"/>
        <v>1938.8353204641296</v>
      </c>
      <c r="U101" s="14">
        <f t="shared" si="18"/>
        <v>8042.90852689847</v>
      </c>
      <c r="V101" s="14">
        <f t="shared" si="18"/>
        <v>8771.4839162929457</v>
      </c>
      <c r="W101" s="14">
        <f t="shared" si="18"/>
        <v>5170.039229451786</v>
      </c>
      <c r="X101" s="14">
        <f t="shared" si="18"/>
        <v>5341.8054319297571</v>
      </c>
      <c r="Y101" s="14">
        <f t="shared" si="18"/>
        <v>12124.589767101446</v>
      </c>
      <c r="Z101" s="14">
        <f t="shared" si="18"/>
        <v>9596.0849640805773</v>
      </c>
      <c r="AA101" s="14">
        <f t="shared" si="18"/>
        <v>15568.270662298204</v>
      </c>
      <c r="AB101" s="14">
        <f t="shared" si="18"/>
        <v>9207.7229754220025</v>
      </c>
      <c r="AC101" s="14">
        <f t="shared" si="18"/>
        <v>9511.0701033831738</v>
      </c>
      <c r="AD101" s="14">
        <f t="shared" si="18"/>
        <v>2253.4098158777174</v>
      </c>
      <c r="AE101" s="14">
        <f t="shared" si="18"/>
        <v>1525.9680036531142</v>
      </c>
      <c r="AF101" s="14">
        <f t="shared" si="18"/>
        <v>711.32480012009341</v>
      </c>
      <c r="AG101" s="14">
        <f t="shared" si="18"/>
        <v>4724.1543289123429</v>
      </c>
      <c r="AH101" s="14">
        <f t="shared" si="18"/>
        <v>15767.702727935248</v>
      </c>
      <c r="AI101" s="14">
        <f t="shared" si="18"/>
        <v>14069.831053305981</v>
      </c>
      <c r="AJ101" s="14">
        <f t="shared" si="18"/>
        <v>5106.8251016907161</v>
      </c>
      <c r="AK101" s="14">
        <f t="shared" si="18"/>
        <v>3744.4661993598193</v>
      </c>
      <c r="AL101" s="14">
        <f t="shared" si="18"/>
        <v>2123.7516776632706</v>
      </c>
      <c r="AM101" s="14">
        <f t="shared" si="18"/>
        <v>1075.3432142054285</v>
      </c>
      <c r="AN101" s="14">
        <f t="shared" si="18"/>
        <v>20.608642384501124</v>
      </c>
      <c r="AO101" s="14">
        <f t="shared" si="18"/>
        <v>25373.304841979327</v>
      </c>
      <c r="AP101" s="14">
        <f t="shared" si="18"/>
        <v>26015.497886986464</v>
      </c>
      <c r="AQ101" s="14">
        <f t="shared" si="18"/>
        <v>17246.675074535277</v>
      </c>
      <c r="AR101" s="14">
        <f t="shared" si="18"/>
        <v>6206.2117947810148</v>
      </c>
      <c r="AS101" s="14">
        <f t="shared" si="18"/>
        <v>15073.662960818216</v>
      </c>
      <c r="AT101" s="14">
        <f t="shared" si="18"/>
        <v>30922.931077529822</v>
      </c>
      <c r="AU101" s="14">
        <f t="shared" si="18"/>
        <v>21657.995847770158</v>
      </c>
      <c r="AV101" s="14">
        <f t="shared" si="18"/>
        <v>4057.8712971205073</v>
      </c>
      <c r="AW101" s="14">
        <f t="shared" si="18"/>
        <v>5194.1242767539143</v>
      </c>
      <c r="AX101" s="14">
        <f t="shared" si="18"/>
        <v>44678.007637654948</v>
      </c>
      <c r="AY101" s="14">
        <f t="shared" si="18"/>
        <v>64869.785768293645</v>
      </c>
      <c r="AZ101" s="14">
        <f t="shared" si="18"/>
        <v>13511.778169617066</v>
      </c>
      <c r="BA101" s="14">
        <f t="shared" si="18"/>
        <v>17191.130892789988</v>
      </c>
      <c r="BB101" s="14">
        <f t="shared" si="18"/>
        <v>13332.633405454204</v>
      </c>
      <c r="BC101" s="14">
        <f t="shared" si="18"/>
        <v>15184.813338420565</v>
      </c>
      <c r="BD101" s="14">
        <f t="shared" si="18"/>
        <v>7120.2584182163864</v>
      </c>
      <c r="BE101" s="14">
        <f t="shared" si="18"/>
        <v>25897.766401537196</v>
      </c>
      <c r="BF101" s="14">
        <f t="shared" si="18"/>
        <v>14898.543993972487</v>
      </c>
      <c r="BG101" s="14">
        <f t="shared" si="18"/>
        <v>2409.5263769378007</v>
      </c>
      <c r="BH101" s="14">
        <f t="shared" si="18"/>
        <v>24829.883286398297</v>
      </c>
      <c r="BI101" s="14">
        <f t="shared" si="18"/>
        <v>12755.723890985566</v>
      </c>
      <c r="BJ101" s="14">
        <f>BJ82+BJ52</f>
        <v>34213.2231001498</v>
      </c>
      <c r="BK101" s="14">
        <f t="shared" si="14"/>
        <v>21036.5685503446</v>
      </c>
      <c r="BL101" s="14">
        <f t="shared" si="14"/>
        <v>24081.292256858185</v>
      </c>
      <c r="BM101" s="14">
        <f t="shared" si="14"/>
        <v>57777.136998937029</v>
      </c>
      <c r="BN101" s="14">
        <f t="shared" si="14"/>
        <v>43217.701186583006</v>
      </c>
      <c r="BO101" s="14">
        <f t="shared" si="14"/>
        <v>5496.2794270063696</v>
      </c>
      <c r="BP101" s="1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</row>
    <row r="102" spans="1:100" customFormat="1">
      <c r="A102" s="20" t="s">
        <v>20</v>
      </c>
      <c r="B102" s="21" t="s">
        <v>21</v>
      </c>
      <c r="C102" s="14">
        <f t="shared" si="18"/>
        <v>380189.25966646604</v>
      </c>
      <c r="D102" s="14">
        <f t="shared" si="18"/>
        <v>121828.73103241946</v>
      </c>
      <c r="E102" s="14">
        <f t="shared" si="18"/>
        <v>53645.371171812338</v>
      </c>
      <c r="F102" s="14">
        <f t="shared" si="18"/>
        <v>144855.12346026409</v>
      </c>
      <c r="G102" s="14">
        <f t="shared" si="18"/>
        <v>188587.94859882953</v>
      </c>
      <c r="H102" s="14">
        <f t="shared" si="18"/>
        <v>418232.47197372542</v>
      </c>
      <c r="I102" s="14">
        <f t="shared" si="18"/>
        <v>77894.600995486078</v>
      </c>
      <c r="J102" s="14">
        <f t="shared" si="18"/>
        <v>53056.425029500577</v>
      </c>
      <c r="K102" s="14">
        <f t="shared" si="18"/>
        <v>88908.770444995767</v>
      </c>
      <c r="L102" s="14">
        <f t="shared" si="18"/>
        <v>92279.92769811317</v>
      </c>
      <c r="M102" s="14">
        <f t="shared" si="18"/>
        <v>65689.848043947655</v>
      </c>
      <c r="N102" s="14">
        <f t="shared" si="18"/>
        <v>20347.062377801889</v>
      </c>
      <c r="O102" s="14">
        <f t="shared" si="18"/>
        <v>37798.614445837149</v>
      </c>
      <c r="P102" s="14">
        <f t="shared" si="18"/>
        <v>74959.622093513681</v>
      </c>
      <c r="Q102" s="14">
        <f t="shared" si="18"/>
        <v>231970.54321832012</v>
      </c>
      <c r="R102" s="14">
        <f t="shared" si="18"/>
        <v>136625.95528117425</v>
      </c>
      <c r="S102" s="14">
        <f t="shared" si="18"/>
        <v>264572.88710643601</v>
      </c>
      <c r="T102" s="14">
        <f t="shared" si="18"/>
        <v>69494.148984298416</v>
      </c>
      <c r="U102" s="14">
        <f t="shared" si="18"/>
        <v>808386.57105131564</v>
      </c>
      <c r="V102" s="14">
        <f t="shared" si="18"/>
        <v>722852.160987671</v>
      </c>
      <c r="W102" s="14">
        <f t="shared" si="18"/>
        <v>255444.60258288422</v>
      </c>
      <c r="X102" s="14">
        <f t="shared" si="18"/>
        <v>139292.93161812914</v>
      </c>
      <c r="Y102" s="14">
        <f t="shared" si="18"/>
        <v>355982.09356580034</v>
      </c>
      <c r="Z102" s="14">
        <f t="shared" si="18"/>
        <v>194256.2551700708</v>
      </c>
      <c r="AA102" s="14">
        <f t="shared" si="18"/>
        <v>283393.66792653722</v>
      </c>
      <c r="AB102" s="14">
        <f t="shared" si="18"/>
        <v>49593.071930430327</v>
      </c>
      <c r="AC102" s="14">
        <f t="shared" si="18"/>
        <v>450876.15674493567</v>
      </c>
      <c r="AD102" s="14">
        <f t="shared" si="18"/>
        <v>196578.92037282116</v>
      </c>
      <c r="AE102" s="14">
        <f t="shared" si="18"/>
        <v>327361.42462702491</v>
      </c>
      <c r="AF102" s="14">
        <f t="shared" si="18"/>
        <v>147812.1374615184</v>
      </c>
      <c r="AG102" s="14">
        <f t="shared" si="18"/>
        <v>218904.87869929837</v>
      </c>
      <c r="AH102" s="14">
        <f t="shared" si="18"/>
        <v>696139.81614878413</v>
      </c>
      <c r="AI102" s="14">
        <f t="shared" si="18"/>
        <v>471964.37373453734</v>
      </c>
      <c r="AJ102" s="14">
        <f t="shared" si="18"/>
        <v>136552.62501874985</v>
      </c>
      <c r="AK102" s="14">
        <f t="shared" si="18"/>
        <v>309666.15926865686</v>
      </c>
      <c r="AL102" s="14">
        <f t="shared" si="18"/>
        <v>152829.11064044852</v>
      </c>
      <c r="AM102" s="14">
        <f t="shared" si="18"/>
        <v>245579.04825389892</v>
      </c>
      <c r="AN102" s="14">
        <f t="shared" si="18"/>
        <v>248643.83428155052</v>
      </c>
      <c r="AO102" s="14">
        <f t="shared" si="18"/>
        <v>450496.22229964915</v>
      </c>
      <c r="AP102" s="14">
        <f t="shared" si="18"/>
        <v>243980.81973819749</v>
      </c>
      <c r="AQ102" s="14">
        <f t="shared" si="18"/>
        <v>556308.00925115251</v>
      </c>
      <c r="AR102" s="14">
        <f t="shared" si="18"/>
        <v>186290.88231419818</v>
      </c>
      <c r="AS102" s="14">
        <f t="shared" si="18"/>
        <v>251753.81547424861</v>
      </c>
      <c r="AT102" s="14">
        <f t="shared" si="18"/>
        <v>375933.05190261907</v>
      </c>
      <c r="AU102" s="14">
        <f t="shared" si="18"/>
        <v>22230.793658831622</v>
      </c>
      <c r="AV102" s="14">
        <f t="shared" si="18"/>
        <v>64977.648832995197</v>
      </c>
      <c r="AW102" s="14">
        <f t="shared" si="18"/>
        <v>407074.5797685021</v>
      </c>
      <c r="AX102" s="14">
        <f t="shared" si="18"/>
        <v>686162.18506809184</v>
      </c>
      <c r="AY102" s="14">
        <f t="shared" si="18"/>
        <v>872353.95922569302</v>
      </c>
      <c r="AZ102" s="14">
        <f t="shared" si="18"/>
        <v>916228.28458629199</v>
      </c>
      <c r="BA102" s="14">
        <f t="shared" si="18"/>
        <v>1721831.3752185968</v>
      </c>
      <c r="BB102" s="14">
        <f t="shared" si="18"/>
        <v>542155.50584775838</v>
      </c>
      <c r="BC102" s="14">
        <f t="shared" si="18"/>
        <v>58870.69961054522</v>
      </c>
      <c r="BD102" s="14">
        <f t="shared" si="18"/>
        <v>802480.11225766432</v>
      </c>
      <c r="BE102" s="14">
        <f t="shared" si="18"/>
        <v>555705.48217005946</v>
      </c>
      <c r="BF102" s="14">
        <f t="shared" si="18"/>
        <v>880598.83485159744</v>
      </c>
      <c r="BG102" s="14">
        <f t="shared" si="18"/>
        <v>247702.02692052757</v>
      </c>
      <c r="BH102" s="14">
        <f t="shared" si="18"/>
        <v>304927.2527474144</v>
      </c>
      <c r="BI102" s="14">
        <f t="shared" si="18"/>
        <v>1000742.0576359208</v>
      </c>
      <c r="BJ102" s="14">
        <f>BJ83+BJ53</f>
        <v>1398277.6566146866</v>
      </c>
      <c r="BK102" s="14">
        <f t="shared" si="14"/>
        <v>324246.92887322215</v>
      </c>
      <c r="BL102" s="14">
        <f t="shared" si="14"/>
        <v>632912.83811463648</v>
      </c>
      <c r="BM102" s="14">
        <f t="shared" si="14"/>
        <v>1988110.3639658384</v>
      </c>
      <c r="BN102" s="14">
        <f t="shared" si="14"/>
        <v>293957.35054326418</v>
      </c>
      <c r="BO102" s="14">
        <f t="shared" si="14"/>
        <v>118396.05725156947</v>
      </c>
      <c r="BP102" s="1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</row>
    <row r="103" spans="1:100" customFormat="1">
      <c r="A103" s="20" t="s">
        <v>20</v>
      </c>
      <c r="B103" s="21" t="s">
        <v>15</v>
      </c>
      <c r="C103" s="14">
        <f t="shared" si="18"/>
        <v>82017.378927596088</v>
      </c>
      <c r="D103" s="14">
        <f t="shared" si="18"/>
        <v>7216.233056592353</v>
      </c>
      <c r="E103" s="14">
        <f t="shared" si="18"/>
        <v>7598.4645224693568</v>
      </c>
      <c r="F103" s="14">
        <f t="shared" si="18"/>
        <v>14009.660887825179</v>
      </c>
      <c r="G103" s="14">
        <f t="shared" si="18"/>
        <v>37972.420446042677</v>
      </c>
      <c r="H103" s="14">
        <f t="shared" si="18"/>
        <v>14184.079674567316</v>
      </c>
      <c r="I103" s="14">
        <f t="shared" si="18"/>
        <v>103086.9994713222</v>
      </c>
      <c r="J103" s="14">
        <f t="shared" si="18"/>
        <v>37383.557562952854</v>
      </c>
      <c r="K103" s="14">
        <f t="shared" si="18"/>
        <v>19312.79923726189</v>
      </c>
      <c r="L103" s="14">
        <f t="shared" si="18"/>
        <v>14338.918745110868</v>
      </c>
      <c r="M103" s="14">
        <f t="shared" si="18"/>
        <v>11468.217567853942</v>
      </c>
      <c r="N103" s="14">
        <f t="shared" si="18"/>
        <v>10557.457767313455</v>
      </c>
      <c r="O103" s="14">
        <f t="shared" si="18"/>
        <v>10324.906020272474</v>
      </c>
      <c r="P103" s="14">
        <f t="shared" si="18"/>
        <v>7941.1398023494912</v>
      </c>
      <c r="Q103" s="14">
        <f t="shared" si="18"/>
        <v>26299.806274892147</v>
      </c>
      <c r="R103" s="14">
        <f t="shared" si="18"/>
        <v>41059.801313814183</v>
      </c>
      <c r="S103" s="14">
        <f t="shared" si="18"/>
        <v>55938.910632160274</v>
      </c>
      <c r="T103" s="14">
        <f t="shared" si="18"/>
        <v>10838.341769447952</v>
      </c>
      <c r="U103" s="14">
        <f t="shared" si="18"/>
        <v>21135.193167124526</v>
      </c>
      <c r="V103" s="14">
        <f t="shared" si="18"/>
        <v>93631.683487831731</v>
      </c>
      <c r="W103" s="14">
        <f t="shared" si="18"/>
        <v>13983.736724891296</v>
      </c>
      <c r="X103" s="14">
        <f t="shared" si="18"/>
        <v>14791.251153526599</v>
      </c>
      <c r="Y103" s="14">
        <f t="shared" si="18"/>
        <v>10414.439696709394</v>
      </c>
      <c r="Z103" s="14">
        <f t="shared" si="18"/>
        <v>30030.021055556961</v>
      </c>
      <c r="AA103" s="14">
        <f t="shared" si="18"/>
        <v>48937.395414290804</v>
      </c>
      <c r="AB103" s="14">
        <f t="shared" si="18"/>
        <v>10751.881278089839</v>
      </c>
      <c r="AC103" s="14">
        <f t="shared" si="18"/>
        <v>42729.881730706911</v>
      </c>
      <c r="AD103" s="14">
        <f t="shared" si="18"/>
        <v>19410.774649694653</v>
      </c>
      <c r="AE103" s="14">
        <f t="shared" si="18"/>
        <v>4263.95221242138</v>
      </c>
      <c r="AF103" s="14">
        <f t="shared" si="18"/>
        <v>12792.867845209372</v>
      </c>
      <c r="AG103" s="14">
        <f t="shared" si="18"/>
        <v>10133.348955637257</v>
      </c>
      <c r="AH103" s="14">
        <f t="shared" si="18"/>
        <v>10358.433040046761</v>
      </c>
      <c r="AI103" s="14">
        <f t="shared" si="18"/>
        <v>479.05958884550455</v>
      </c>
      <c r="AJ103" s="14">
        <f t="shared" si="18"/>
        <v>3534.2384696010849</v>
      </c>
      <c r="AK103" s="14">
        <f t="shared" si="18"/>
        <v>3919.5973746920217</v>
      </c>
      <c r="AL103" s="14">
        <f t="shared" si="18"/>
        <v>1270.7536898563092</v>
      </c>
      <c r="AM103" s="14">
        <f t="shared" si="18"/>
        <v>220.19804806109408</v>
      </c>
      <c r="AN103" s="14">
        <f t="shared" si="18"/>
        <v>2564.9629812644525</v>
      </c>
      <c r="AO103" s="14">
        <f t="shared" si="18"/>
        <v>29302.022157396445</v>
      </c>
      <c r="AP103" s="14">
        <f t="shared" si="18"/>
        <v>21441.554960995192</v>
      </c>
      <c r="AQ103" s="14">
        <f t="shared" si="18"/>
        <v>99.382965251334497</v>
      </c>
      <c r="AR103" s="14">
        <f t="shared" si="18"/>
        <v>112.99441636499982</v>
      </c>
      <c r="AS103" s="14">
        <f t="shared" si="18"/>
        <v>122.0753581248031</v>
      </c>
      <c r="AT103" s="14">
        <f t="shared" si="18"/>
        <v>4268.9095565749203</v>
      </c>
      <c r="AU103" s="14">
        <f t="shared" si="18"/>
        <v>173548.71156516348</v>
      </c>
      <c r="AV103" s="14">
        <f t="shared" si="18"/>
        <v>26125.807353662669</v>
      </c>
      <c r="AW103" s="14">
        <f t="shared" si="18"/>
        <v>1683.042957872337</v>
      </c>
      <c r="AX103" s="14">
        <f t="shared" si="18"/>
        <v>6388.0736314696433</v>
      </c>
      <c r="AY103" s="14">
        <f t="shared" si="18"/>
        <v>9258.1581308641653</v>
      </c>
      <c r="AZ103" s="14">
        <f t="shared" si="18"/>
        <v>14118.971751027442</v>
      </c>
      <c r="BA103" s="14">
        <f t="shared" si="18"/>
        <v>34549.841817285524</v>
      </c>
      <c r="BB103" s="14">
        <f t="shared" si="18"/>
        <v>10765.956420053457</v>
      </c>
      <c r="BC103" s="14">
        <f t="shared" si="18"/>
        <v>29096.577242850555</v>
      </c>
      <c r="BD103" s="14">
        <f t="shared" si="18"/>
        <v>342.38045150024618</v>
      </c>
      <c r="BE103" s="14">
        <f t="shared" si="18"/>
        <v>1063.6706514162611</v>
      </c>
      <c r="BF103" s="14">
        <f t="shared" si="18"/>
        <v>1354.1183666026195</v>
      </c>
      <c r="BG103" s="14">
        <f t="shared" si="18"/>
        <v>466.08735565723276</v>
      </c>
      <c r="BH103" s="14">
        <f t="shared" si="18"/>
        <v>4529.4411090193389</v>
      </c>
      <c r="BI103" s="14">
        <f t="shared" si="18"/>
        <v>111927.47240861802</v>
      </c>
      <c r="BJ103" s="14">
        <f>BJ84+BJ54</f>
        <v>1513.0763464511963</v>
      </c>
      <c r="BK103" s="14">
        <f t="shared" ref="BK103:BO103" si="19">BK84+BK54</f>
        <v>36666.084380071195</v>
      </c>
      <c r="BL103" s="14">
        <f t="shared" si="19"/>
        <v>968.74902074615375</v>
      </c>
      <c r="BM103" s="14">
        <f t="shared" si="19"/>
        <v>1112.7051787839148</v>
      </c>
      <c r="BN103" s="14">
        <f t="shared" si="19"/>
        <v>31430.976497404143</v>
      </c>
      <c r="BO103" s="14">
        <f t="shared" si="19"/>
        <v>13344.514009730927</v>
      </c>
      <c r="BP103" s="1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</row>
    <row r="104" spans="1:100" customFormat="1">
      <c r="L104" s="8"/>
      <c r="M104" s="15"/>
      <c r="N104" s="15"/>
      <c r="O104" s="16"/>
      <c r="P104" s="9"/>
      <c r="Q104" s="9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</row>
    <row r="105" spans="1:100" customFormat="1">
      <c r="B105" s="21" t="s">
        <v>22</v>
      </c>
      <c r="C105" s="14">
        <f t="shared" ref="C105:AG105" si="20">SUM(C87:C103)</f>
        <v>2878303.1818795926</v>
      </c>
      <c r="D105" s="14">
        <f t="shared" si="20"/>
        <v>814731.52422580984</v>
      </c>
      <c r="E105" s="14">
        <f t="shared" si="20"/>
        <v>765381.00437171408</v>
      </c>
      <c r="F105" s="14">
        <f t="shared" si="20"/>
        <v>1138728.8229900005</v>
      </c>
      <c r="G105" s="14">
        <f t="shared" si="20"/>
        <v>1773215.0345384376</v>
      </c>
      <c r="H105" s="14">
        <f t="shared" si="20"/>
        <v>1530975.89494296</v>
      </c>
      <c r="I105" s="14">
        <f t="shared" si="20"/>
        <v>900771.13480523252</v>
      </c>
      <c r="J105" s="14">
        <f t="shared" si="20"/>
        <v>629847.29203986493</v>
      </c>
      <c r="K105" s="14">
        <f t="shared" si="20"/>
        <v>626197.1862116945</v>
      </c>
      <c r="L105" s="14">
        <f t="shared" si="20"/>
        <v>655024.82740426401</v>
      </c>
      <c r="M105" s="14">
        <f t="shared" si="20"/>
        <v>586515.06300601584</v>
      </c>
      <c r="N105" s="14">
        <f t="shared" si="20"/>
        <v>229544.44566696949</v>
      </c>
      <c r="O105" s="14">
        <f t="shared" si="20"/>
        <v>576287.5268457256</v>
      </c>
      <c r="P105" s="14">
        <f t="shared" si="20"/>
        <v>566131.72065002553</v>
      </c>
      <c r="Q105" s="14">
        <f t="shared" si="20"/>
        <v>1444957.860231763</v>
      </c>
      <c r="R105" s="14">
        <f t="shared" si="20"/>
        <v>1058212.190330684</v>
      </c>
      <c r="S105" s="14">
        <f t="shared" si="20"/>
        <v>1495736.6804822867</v>
      </c>
      <c r="T105" s="14">
        <f t="shared" si="20"/>
        <v>480980.52635873388</v>
      </c>
      <c r="U105" s="14">
        <f t="shared" si="20"/>
        <v>2817558.4148063459</v>
      </c>
      <c r="V105" s="14">
        <f t="shared" si="20"/>
        <v>3266553.1175637618</v>
      </c>
      <c r="W105" s="14">
        <f t="shared" si="20"/>
        <v>1100397.71188248</v>
      </c>
      <c r="X105" s="14">
        <f t="shared" si="20"/>
        <v>811821.12714249664</v>
      </c>
      <c r="Y105" s="14">
        <f t="shared" si="20"/>
        <v>1175264.9376180165</v>
      </c>
      <c r="Z105" s="14">
        <f t="shared" si="20"/>
        <v>994829.53426450712</v>
      </c>
      <c r="AA105" s="14">
        <f t="shared" si="20"/>
        <v>2038809.7374415293</v>
      </c>
      <c r="AB105" s="14">
        <f t="shared" si="20"/>
        <v>552158.25494477444</v>
      </c>
      <c r="AC105" s="14">
        <f t="shared" si="20"/>
        <v>1698961.226698102</v>
      </c>
      <c r="AD105" s="14">
        <f t="shared" si="20"/>
        <v>1042842.6486531273</v>
      </c>
      <c r="AE105" s="14">
        <f t="shared" si="20"/>
        <v>2215612.4958068314</v>
      </c>
      <c r="AF105" s="14">
        <f t="shared" si="20"/>
        <v>1050369.361707781</v>
      </c>
      <c r="AG105" s="14">
        <f t="shared" si="20"/>
        <v>1277946.2426933022</v>
      </c>
      <c r="AH105" s="14">
        <f t="shared" ref="AH105:BI105" si="21">SUM(AH87:AH103)</f>
        <v>2784505.3178192675</v>
      </c>
      <c r="AI105" s="14">
        <f t="shared" si="21"/>
        <v>2646041.5892950334</v>
      </c>
      <c r="AJ105" s="14">
        <f t="shared" si="21"/>
        <v>1440065.8305836613</v>
      </c>
      <c r="AK105" s="14">
        <f t="shared" si="21"/>
        <v>2226484.1251015463</v>
      </c>
      <c r="AL105" s="14">
        <f t="shared" si="21"/>
        <v>897405.03672329336</v>
      </c>
      <c r="AM105" s="14">
        <f t="shared" si="21"/>
        <v>2077524.4966371236</v>
      </c>
      <c r="AN105" s="14">
        <f t="shared" si="21"/>
        <v>1619311.11359815</v>
      </c>
      <c r="AO105" s="14">
        <f t="shared" si="21"/>
        <v>3128717.7827566476</v>
      </c>
      <c r="AP105" s="14">
        <f t="shared" si="21"/>
        <v>3273898.6443386707</v>
      </c>
      <c r="AQ105" s="14">
        <f t="shared" si="21"/>
        <v>2876868.309027635</v>
      </c>
      <c r="AR105" s="14">
        <f t="shared" si="21"/>
        <v>908922.35493719438</v>
      </c>
      <c r="AS105" s="14">
        <f t="shared" si="21"/>
        <v>797980.99213934387</v>
      </c>
      <c r="AT105" s="14">
        <f t="shared" si="21"/>
        <v>1073076.014447937</v>
      </c>
      <c r="AU105" s="14">
        <f t="shared" si="21"/>
        <v>3381357.7049538661</v>
      </c>
      <c r="AV105" s="14">
        <f t="shared" si="21"/>
        <v>744116.48869954632</v>
      </c>
      <c r="AW105" s="14">
        <f t="shared" si="21"/>
        <v>703277.67383363051</v>
      </c>
      <c r="AX105" s="14">
        <f t="shared" si="21"/>
        <v>1962560.8254500041</v>
      </c>
      <c r="AY105" s="14">
        <f t="shared" si="21"/>
        <v>2683299.6524652555</v>
      </c>
      <c r="AZ105" s="14">
        <f t="shared" si="21"/>
        <v>2157316.0305015999</v>
      </c>
      <c r="BA105" s="14">
        <f t="shared" si="21"/>
        <v>3372315.9664108385</v>
      </c>
      <c r="BB105" s="14">
        <f t="shared" si="21"/>
        <v>1777745.3977128055</v>
      </c>
      <c r="BC105" s="14">
        <f t="shared" si="21"/>
        <v>1436302.0954654496</v>
      </c>
      <c r="BD105" s="14">
        <f t="shared" si="21"/>
        <v>1713488.8455709119</v>
      </c>
      <c r="BE105" s="14">
        <f t="shared" si="21"/>
        <v>1283945.235878489</v>
      </c>
      <c r="BF105" s="14">
        <f t="shared" si="21"/>
        <v>1762220.9778501925</v>
      </c>
      <c r="BG105" s="14">
        <f t="shared" si="21"/>
        <v>635639.5400417184</v>
      </c>
      <c r="BH105" s="14">
        <f t="shared" si="21"/>
        <v>2142381.3646149021</v>
      </c>
      <c r="BI105" s="14">
        <f t="shared" si="21"/>
        <v>2483665.7971874801</v>
      </c>
      <c r="BJ105" s="14">
        <f>SUM(BJ87:BJ103)</f>
        <v>2511785.4584490135</v>
      </c>
      <c r="BK105" s="14">
        <f t="shared" ref="BK105:BO105" si="22">SUM(BK87:BK103)</f>
        <v>1162683.0612279866</v>
      </c>
      <c r="BL105" s="14">
        <f t="shared" si="22"/>
        <v>1644121.0152955696</v>
      </c>
      <c r="BM105" s="14">
        <f t="shared" si="22"/>
        <v>4426968.0214820467</v>
      </c>
      <c r="BN105" s="14">
        <f t="shared" si="22"/>
        <v>1505575.4045302987</v>
      </c>
      <c r="BO105" s="14">
        <f t="shared" si="22"/>
        <v>908506.60273388249</v>
      </c>
      <c r="BP105" s="1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</row>
    <row r="106" spans="1:100" customFormat="1">
      <c r="A106" s="26" t="s">
        <v>25</v>
      </c>
      <c r="L106" s="8"/>
      <c r="M106" s="15"/>
      <c r="N106" s="15"/>
      <c r="O106" s="16"/>
      <c r="P106" s="9"/>
      <c r="Q106" s="9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</row>
    <row r="107" spans="1:100" customFormat="1">
      <c r="A107" s="20" t="s">
        <v>5</v>
      </c>
      <c r="B107" s="21" t="s">
        <v>6</v>
      </c>
      <c r="C107" s="31">
        <f t="shared" ref="C107:BM111" si="23">C68/C87</f>
        <v>0.10955017842865766</v>
      </c>
      <c r="D107" s="31">
        <f t="shared" si="23"/>
        <v>9.8175823897407324E-2</v>
      </c>
      <c r="E107" s="31">
        <f t="shared" si="23"/>
        <v>0.12282172427588968</v>
      </c>
      <c r="F107" s="31">
        <f t="shared" si="23"/>
        <v>5.2466171749581562E-2</v>
      </c>
      <c r="G107" s="31">
        <f t="shared" si="23"/>
        <v>7.368115647906083E-2</v>
      </c>
      <c r="H107" s="31">
        <f t="shared" si="23"/>
        <v>7.2930456700700752E-2</v>
      </c>
      <c r="I107" s="31">
        <f t="shared" si="23"/>
        <v>9.7294391506628011E-2</v>
      </c>
      <c r="J107" s="31">
        <f t="shared" si="23"/>
        <v>6.3617323908779583E-2</v>
      </c>
      <c r="K107" s="31">
        <f t="shared" si="23"/>
        <v>2.5415032784783732E-2</v>
      </c>
      <c r="L107" s="31">
        <f t="shared" si="23"/>
        <v>5.6879412698170796E-2</v>
      </c>
      <c r="M107" s="31">
        <f t="shared" si="23"/>
        <v>2.7002202068772303E-2</v>
      </c>
      <c r="N107" s="31">
        <f t="shared" si="23"/>
        <v>1.2499600361960428E-2</v>
      </c>
      <c r="O107" s="31">
        <f t="shared" si="23"/>
        <v>9.2998738865620045E-3</v>
      </c>
      <c r="P107" s="31">
        <f t="shared" si="23"/>
        <v>2.9208974343518081E-2</v>
      </c>
      <c r="Q107" s="31">
        <f t="shared" si="23"/>
        <v>5.0960967274849327E-2</v>
      </c>
      <c r="R107" s="31">
        <f t="shared" si="23"/>
        <v>4.8153453906020431E-2</v>
      </c>
      <c r="S107" s="31">
        <f t="shared" si="23"/>
        <v>6.1646682636743819E-2</v>
      </c>
      <c r="T107" s="31">
        <f t="shared" si="23"/>
        <v>3.6673615198900326E-2</v>
      </c>
      <c r="U107" s="31">
        <f t="shared" si="23"/>
        <v>7.5587508173744405E-2</v>
      </c>
      <c r="V107" s="31">
        <f t="shared" si="23"/>
        <v>8.9765215957872152E-2</v>
      </c>
      <c r="W107" s="31">
        <f t="shared" si="23"/>
        <v>2.9049963527033644E-2</v>
      </c>
      <c r="X107" s="31">
        <f t="shared" si="23"/>
        <v>6.5334689171555757E-2</v>
      </c>
      <c r="Y107" s="31">
        <f t="shared" si="23"/>
        <v>8.0605893214764038E-2</v>
      </c>
      <c r="Z107" s="31">
        <f t="shared" si="23"/>
        <v>2.0076349834193024E-2</v>
      </c>
      <c r="AA107" s="31">
        <f t="shared" si="23"/>
        <v>7.7305088042274928E-2</v>
      </c>
      <c r="AB107" s="31">
        <f t="shared" si="23"/>
        <v>1.4954498184521317E-2</v>
      </c>
      <c r="AC107" s="31">
        <f t="shared" si="23"/>
        <v>4.8430153088786503E-2</v>
      </c>
      <c r="AD107" s="31">
        <f t="shared" si="23"/>
        <v>7.6674006030944359E-3</v>
      </c>
      <c r="AE107" s="31">
        <f t="shared" si="23"/>
        <v>8.2832955629360452E-2</v>
      </c>
      <c r="AF107" s="31">
        <f t="shared" si="23"/>
        <v>1.2607005810541081E-2</v>
      </c>
      <c r="AG107" s="31">
        <f t="shared" si="23"/>
        <v>4.2756613282966182E-3</v>
      </c>
      <c r="AH107" s="31">
        <f t="shared" si="23"/>
        <v>2.0811844393569246E-2</v>
      </c>
      <c r="AI107" s="31">
        <f t="shared" si="23"/>
        <v>5.6325520951854946E-2</v>
      </c>
      <c r="AJ107" s="31">
        <f t="shared" si="23"/>
        <v>9.725497685793975E-3</v>
      </c>
      <c r="AK107" s="31">
        <f t="shared" si="23"/>
        <v>6.202066634522467E-2</v>
      </c>
      <c r="AL107" s="31">
        <f t="shared" si="23"/>
        <v>4.8655684702079739E-2</v>
      </c>
      <c r="AM107" s="31">
        <f t="shared" si="23"/>
        <v>6.6196030665762573E-2</v>
      </c>
      <c r="AN107" s="31">
        <f t="shared" si="23"/>
        <v>2.2279353481217155E-2</v>
      </c>
      <c r="AO107" s="31">
        <f t="shared" si="23"/>
        <v>7.3925008691693439E-2</v>
      </c>
      <c r="AP107" s="31">
        <f t="shared" si="23"/>
        <v>5.5977356478630974E-2</v>
      </c>
      <c r="AQ107" s="31">
        <f t="shared" si="23"/>
        <v>6.4940348132668052E-2</v>
      </c>
      <c r="AR107" s="31">
        <f t="shared" si="23"/>
        <v>4.1742763902656771E-2</v>
      </c>
      <c r="AS107" s="31">
        <f t="shared" si="23"/>
        <v>2.4969394087251257E-2</v>
      </c>
      <c r="AT107" s="31">
        <f t="shared" si="23"/>
        <v>1.6311265157114545E-2</v>
      </c>
      <c r="AU107" s="31">
        <f t="shared" si="23"/>
        <v>4.1380141211129776E-2</v>
      </c>
      <c r="AV107" s="31">
        <f t="shared" si="23"/>
        <v>1.2065641272072635E-2</v>
      </c>
      <c r="AW107" s="31">
        <f t="shared" si="23"/>
        <v>4.2789999857837643E-2</v>
      </c>
      <c r="AX107" s="31">
        <f t="shared" si="23"/>
        <v>1.6648302533139949E-2</v>
      </c>
      <c r="AY107" s="31">
        <f t="shared" si="23"/>
        <v>2.5168452993931879E-2</v>
      </c>
      <c r="AZ107" s="31">
        <f t="shared" si="23"/>
        <v>3.6120735927856036E-2</v>
      </c>
      <c r="BA107" s="31">
        <f t="shared" si="23"/>
        <v>4.3581382260099756E-2</v>
      </c>
      <c r="BB107" s="31">
        <f t="shared" si="23"/>
        <v>4.6070449921146783E-2</v>
      </c>
      <c r="BC107" s="31">
        <f t="shared" si="23"/>
        <v>4.6970422853260502E-2</v>
      </c>
      <c r="BD107" s="31">
        <f t="shared" si="23"/>
        <v>8.4365709694548454E-3</v>
      </c>
      <c r="BE107" s="31">
        <f t="shared" si="23"/>
        <v>1.8991768634932439E-2</v>
      </c>
      <c r="BF107" s="31">
        <f t="shared" si="23"/>
        <v>2.0004938666068558E-2</v>
      </c>
      <c r="BG107" s="31">
        <f t="shared" si="23"/>
        <v>1.0277350720589428E-2</v>
      </c>
      <c r="BH107" s="31">
        <f t="shared" si="23"/>
        <v>3.4016196050084962E-2</v>
      </c>
      <c r="BI107" s="31">
        <f t="shared" si="23"/>
        <v>1.2945372489872927E-2</v>
      </c>
      <c r="BJ107" s="31">
        <f t="shared" si="23"/>
        <v>2.7561647889795062E-2</v>
      </c>
      <c r="BK107" s="31">
        <f t="shared" si="23"/>
        <v>1.8615032390653433E-2</v>
      </c>
      <c r="BL107" s="31">
        <f t="shared" si="23"/>
        <v>3.7531004369923474E-2</v>
      </c>
      <c r="BM107" s="31">
        <f t="shared" si="23"/>
        <v>1.8804510386676569E-2</v>
      </c>
      <c r="BN107" s="31">
        <f t="shared" ref="BJ107:BO122" si="24">BN68/BN87</f>
        <v>2.2889435451342303E-2</v>
      </c>
      <c r="BO107" s="31">
        <f t="shared" si="24"/>
        <v>1.3586751662600054E-2</v>
      </c>
      <c r="BP107" s="1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</row>
    <row r="108" spans="1:100" customFormat="1">
      <c r="A108" s="20" t="s">
        <v>7</v>
      </c>
      <c r="B108" s="21" t="s">
        <v>6</v>
      </c>
      <c r="C108" s="31">
        <f t="shared" si="23"/>
        <v>0.10955017842865765</v>
      </c>
      <c r="D108" s="31">
        <f t="shared" si="23"/>
        <v>9.8175823897407311E-2</v>
      </c>
      <c r="E108" s="31">
        <f t="shared" si="23"/>
        <v>0.12282172427588968</v>
      </c>
      <c r="F108" s="31">
        <f t="shared" si="23"/>
        <v>5.2466171749581569E-2</v>
      </c>
      <c r="G108" s="31">
        <f t="shared" si="23"/>
        <v>7.368115647906083E-2</v>
      </c>
      <c r="H108" s="31">
        <f t="shared" si="23"/>
        <v>7.2930456700700738E-2</v>
      </c>
      <c r="I108" s="31">
        <f t="shared" si="23"/>
        <v>9.7294391506628025E-2</v>
      </c>
      <c r="J108" s="31">
        <f t="shared" si="23"/>
        <v>6.3617323908779569E-2</v>
      </c>
      <c r="K108" s="31">
        <f t="shared" si="23"/>
        <v>2.5415032784783739E-2</v>
      </c>
      <c r="L108" s="31">
        <f t="shared" si="23"/>
        <v>5.6879412698170803E-2</v>
      </c>
      <c r="M108" s="31">
        <f t="shared" si="23"/>
        <v>2.70022020687723E-2</v>
      </c>
      <c r="N108" s="31">
        <f t="shared" si="23"/>
        <v>1.2499600361960432E-2</v>
      </c>
      <c r="O108" s="31">
        <f t="shared" si="23"/>
        <v>9.2998738865620028E-3</v>
      </c>
      <c r="P108" s="31">
        <f t="shared" si="23"/>
        <v>2.920897434351807E-2</v>
      </c>
      <c r="Q108" s="31">
        <f t="shared" si="23"/>
        <v>5.096096727484932E-2</v>
      </c>
      <c r="R108" s="31">
        <f t="shared" si="23"/>
        <v>4.8153453906020431E-2</v>
      </c>
      <c r="S108" s="31">
        <f t="shared" si="23"/>
        <v>6.1646682636743812E-2</v>
      </c>
      <c r="T108" s="31">
        <f t="shared" si="23"/>
        <v>3.6673615198900326E-2</v>
      </c>
      <c r="U108" s="31">
        <f t="shared" si="23"/>
        <v>7.5587508173744405E-2</v>
      </c>
      <c r="V108" s="31">
        <f t="shared" si="23"/>
        <v>8.9765215957872166E-2</v>
      </c>
      <c r="W108" s="31">
        <f t="shared" si="23"/>
        <v>2.9049963527033637E-2</v>
      </c>
      <c r="X108" s="31">
        <f t="shared" si="23"/>
        <v>6.5334689171555743E-2</v>
      </c>
      <c r="Y108" s="31">
        <f t="shared" si="23"/>
        <v>8.0605893214764038E-2</v>
      </c>
      <c r="Z108" s="31">
        <f t="shared" si="23"/>
        <v>2.0076349834193024E-2</v>
      </c>
      <c r="AA108" s="31">
        <f t="shared" si="23"/>
        <v>7.7305088042274928E-2</v>
      </c>
      <c r="AB108" s="31">
        <f t="shared" si="23"/>
        <v>1.4954498184521313E-2</v>
      </c>
      <c r="AC108" s="31">
        <f t="shared" si="23"/>
        <v>4.8430153088786503E-2</v>
      </c>
      <c r="AD108" s="31">
        <f t="shared" si="23"/>
        <v>7.6674006030944368E-3</v>
      </c>
      <c r="AE108" s="31">
        <f t="shared" si="23"/>
        <v>8.2832955629360452E-2</v>
      </c>
      <c r="AF108" s="31">
        <f t="shared" si="23"/>
        <v>1.2607005810541083E-2</v>
      </c>
      <c r="AG108" s="31">
        <f t="shared" si="23"/>
        <v>4.2756613282966182E-3</v>
      </c>
      <c r="AH108" s="31">
        <f t="shared" si="23"/>
        <v>2.081184439356925E-2</v>
      </c>
      <c r="AI108" s="31">
        <f t="shared" si="23"/>
        <v>5.6325520951854946E-2</v>
      </c>
      <c r="AJ108" s="31">
        <f t="shared" si="23"/>
        <v>9.725497685793975E-3</v>
      </c>
      <c r="AK108" s="31">
        <f t="shared" si="23"/>
        <v>6.2020666345224677E-2</v>
      </c>
      <c r="AL108" s="31">
        <f t="shared" si="23"/>
        <v>4.8655684702079753E-2</v>
      </c>
      <c r="AM108" s="31">
        <f t="shared" si="23"/>
        <v>6.6196030665762587E-2</v>
      </c>
      <c r="AN108" s="31">
        <f t="shared" si="23"/>
        <v>2.2279353481217158E-2</v>
      </c>
      <c r="AO108" s="31">
        <f t="shared" si="23"/>
        <v>7.3925008691693425E-2</v>
      </c>
      <c r="AP108" s="31">
        <f t="shared" si="23"/>
        <v>5.5977356478630974E-2</v>
      </c>
      <c r="AQ108" s="31">
        <f t="shared" si="23"/>
        <v>6.4940348132668052E-2</v>
      </c>
      <c r="AR108" s="31">
        <f t="shared" si="23"/>
        <v>4.1742763902656785E-2</v>
      </c>
      <c r="AS108" s="31">
        <f t="shared" si="23"/>
        <v>2.4969394087251257E-2</v>
      </c>
      <c r="AT108" s="31">
        <f t="shared" si="23"/>
        <v>1.6311265157114552E-2</v>
      </c>
      <c r="AU108" s="31">
        <f t="shared" si="23"/>
        <v>4.1380141211129783E-2</v>
      </c>
      <c r="AV108" s="31">
        <f t="shared" si="23"/>
        <v>1.2065641272072637E-2</v>
      </c>
      <c r="AW108" s="31">
        <f t="shared" si="23"/>
        <v>4.2789999857837636E-2</v>
      </c>
      <c r="AX108" s="31">
        <f t="shared" si="23"/>
        <v>1.6648302533139949E-2</v>
      </c>
      <c r="AY108" s="31">
        <f t="shared" si="23"/>
        <v>2.5168452993931882E-2</v>
      </c>
      <c r="AZ108" s="31">
        <f t="shared" si="23"/>
        <v>3.6120735927856029E-2</v>
      </c>
      <c r="BA108" s="31">
        <f t="shared" si="23"/>
        <v>4.3581382260099756E-2</v>
      </c>
      <c r="BB108" s="31">
        <f t="shared" si="23"/>
        <v>4.6070449921146783E-2</v>
      </c>
      <c r="BC108" s="31">
        <f t="shared" si="23"/>
        <v>4.6970422853260502E-2</v>
      </c>
      <c r="BD108" s="31">
        <f t="shared" si="23"/>
        <v>8.4365709694548454E-3</v>
      </c>
      <c r="BE108" s="31">
        <f t="shared" si="23"/>
        <v>1.8991768634932439E-2</v>
      </c>
      <c r="BF108" s="31">
        <f t="shared" si="23"/>
        <v>2.0004938666068554E-2</v>
      </c>
      <c r="BG108" s="31">
        <f t="shared" si="23"/>
        <v>1.0277350720589428E-2</v>
      </c>
      <c r="BH108" s="31">
        <f t="shared" si="23"/>
        <v>3.4016196050084962E-2</v>
      </c>
      <c r="BI108" s="31">
        <f t="shared" si="23"/>
        <v>1.2945372489872927E-2</v>
      </c>
      <c r="BJ108" s="31">
        <f t="shared" si="24"/>
        <v>2.7561647889795059E-2</v>
      </c>
      <c r="BK108" s="31">
        <f t="shared" si="24"/>
        <v>1.861503239065343E-2</v>
      </c>
      <c r="BL108" s="31">
        <f t="shared" si="24"/>
        <v>3.7531004369923474E-2</v>
      </c>
      <c r="BM108" s="31">
        <f t="shared" si="24"/>
        <v>1.8804510386676569E-2</v>
      </c>
      <c r="BN108" s="31">
        <f t="shared" si="24"/>
        <v>2.2889435451342303E-2</v>
      </c>
      <c r="BO108" s="31">
        <f t="shared" si="24"/>
        <v>1.3586751662600054E-2</v>
      </c>
      <c r="BP108" s="1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</row>
    <row r="109" spans="1:100" customFormat="1">
      <c r="A109" s="20" t="s">
        <v>7</v>
      </c>
      <c r="B109" s="21" t="s">
        <v>8</v>
      </c>
      <c r="C109" s="31">
        <f t="shared" si="23"/>
        <v>0.39863211310941465</v>
      </c>
      <c r="D109" s="31">
        <f t="shared" si="23"/>
        <v>0.32916303338205971</v>
      </c>
      <c r="E109" s="31">
        <f t="shared" si="23"/>
        <v>0.40007729304045919</v>
      </c>
      <c r="F109" s="31">
        <f t="shared" si="23"/>
        <v>0.18025967851792682</v>
      </c>
      <c r="G109" s="31">
        <f t="shared" si="23"/>
        <v>0.27739735958409384</v>
      </c>
      <c r="H109" s="31">
        <f t="shared" si="23"/>
        <v>0.26565036187175212</v>
      </c>
      <c r="I109" s="31">
        <f t="shared" si="23"/>
        <v>0.33404330676231309</v>
      </c>
      <c r="J109" s="31">
        <f t="shared" si="23"/>
        <v>0.22552978609763577</v>
      </c>
      <c r="K109" s="31">
        <f t="shared" si="23"/>
        <v>0.10408395592896277</v>
      </c>
      <c r="L109" s="31">
        <f t="shared" si="23"/>
        <v>0.23205218823532811</v>
      </c>
      <c r="M109" s="31">
        <f t="shared" si="23"/>
        <v>9.5049025237762624E-2</v>
      </c>
      <c r="N109" s="31">
        <f t="shared" si="23"/>
        <v>4.4213935911772986E-2</v>
      </c>
      <c r="O109" s="31">
        <f t="shared" si="23"/>
        <v>3.2293390541170065E-2</v>
      </c>
      <c r="P109" s="31">
        <f t="shared" si="23"/>
        <v>0.12216300043020628</v>
      </c>
      <c r="Q109" s="31">
        <f t="shared" si="23"/>
        <v>0.20633533669097828</v>
      </c>
      <c r="R109" s="31">
        <f t="shared" si="23"/>
        <v>0.22738154559391749</v>
      </c>
      <c r="S109" s="31">
        <f t="shared" si="23"/>
        <v>0.25732201583501624</v>
      </c>
      <c r="T109" s="31">
        <f t="shared" si="23"/>
        <v>0.12162021593668665</v>
      </c>
      <c r="U109" s="31">
        <f t="shared" si="23"/>
        <v>0.28790912402436342</v>
      </c>
      <c r="V109" s="31">
        <f t="shared" si="23"/>
        <v>0.36432382270856717</v>
      </c>
      <c r="W109" s="31">
        <f t="shared" si="23"/>
        <v>0.11364520550067005</v>
      </c>
      <c r="X109" s="31">
        <f t="shared" si="23"/>
        <v>0.23419728130953982</v>
      </c>
      <c r="Y109" s="31">
        <f t="shared" si="23"/>
        <v>0.32181059530054823</v>
      </c>
      <c r="Z109" s="31">
        <f t="shared" si="23"/>
        <v>7.0774159118574792E-2</v>
      </c>
      <c r="AA109" s="31">
        <f t="shared" si="23"/>
        <v>0.2926865863269974</v>
      </c>
      <c r="AB109" s="31">
        <f t="shared" si="23"/>
        <v>5.2539322089377692E-2</v>
      </c>
      <c r="AC109" s="31">
        <f t="shared" si="23"/>
        <v>0.19572019502603732</v>
      </c>
      <c r="AD109" s="31">
        <f t="shared" si="23"/>
        <v>2.9741321609492631E-2</v>
      </c>
      <c r="AE109" s="31">
        <f t="shared" si="23"/>
        <v>0.30050426735800295</v>
      </c>
      <c r="AF109" s="31">
        <f t="shared" si="23"/>
        <v>4.1770368496838343E-2</v>
      </c>
      <c r="AG109" s="31">
        <f t="shared" si="23"/>
        <v>1.7522981834542626E-2</v>
      </c>
      <c r="AH109" s="31">
        <f t="shared" si="23"/>
        <v>7.9176795027297756E-2</v>
      </c>
      <c r="AI109" s="31">
        <f t="shared" si="23"/>
        <v>0.22539826170319863</v>
      </c>
      <c r="AJ109" s="31">
        <f t="shared" si="23"/>
        <v>3.6904798342855878E-2</v>
      </c>
      <c r="AK109" s="31">
        <f t="shared" si="23"/>
        <v>0.28341229943574542</v>
      </c>
      <c r="AL109" s="31">
        <f t="shared" si="23"/>
        <v>0.20522218792485758</v>
      </c>
      <c r="AM109" s="31">
        <f t="shared" si="23"/>
        <v>0.26666016367859929</v>
      </c>
      <c r="AN109" s="31">
        <f t="shared" si="23"/>
        <v>8.9139339364859557E-2</v>
      </c>
      <c r="AO109" s="31">
        <f t="shared" si="23"/>
        <v>0.27056983890682629</v>
      </c>
      <c r="AP109" s="31">
        <f t="shared" si="23"/>
        <v>0.22916373736118167</v>
      </c>
      <c r="AQ109" s="31">
        <f t="shared" si="23"/>
        <v>0.25690255840899517</v>
      </c>
      <c r="AR109" s="31">
        <f t="shared" si="23"/>
        <v>0.17591677773981956</v>
      </c>
      <c r="AS109" s="31">
        <f t="shared" si="23"/>
        <v>9.9376810600661752E-2</v>
      </c>
      <c r="AT109" s="31">
        <f t="shared" si="23"/>
        <v>6.1287637362103346E-2</v>
      </c>
      <c r="AU109" s="31">
        <f t="shared" si="23"/>
        <v>0.22415671354236205</v>
      </c>
      <c r="AV109" s="31">
        <f t="shared" si="23"/>
        <v>4.7404873380664805E-2</v>
      </c>
      <c r="AW109" s="31">
        <f t="shared" si="23"/>
        <v>0.15777764752185616</v>
      </c>
      <c r="AX109" s="31">
        <f t="shared" si="23"/>
        <v>6.6009883004522318E-2</v>
      </c>
      <c r="AY109" s="31">
        <f t="shared" si="23"/>
        <v>0.12454463925955643</v>
      </c>
      <c r="AZ109" s="31">
        <f t="shared" si="23"/>
        <v>0.16834504139692269</v>
      </c>
      <c r="BA109" s="31">
        <f t="shared" si="23"/>
        <v>0.18787681902530251</v>
      </c>
      <c r="BB109" s="31">
        <f t="shared" si="23"/>
        <v>0.24610240427266911</v>
      </c>
      <c r="BC109" s="31">
        <f t="shared" si="23"/>
        <v>0.21730145377613169</v>
      </c>
      <c r="BD109" s="31">
        <f t="shared" si="23"/>
        <v>9.8176425699890546E-2</v>
      </c>
      <c r="BE109" s="31">
        <f t="shared" si="23"/>
        <v>0.10087235444307457</v>
      </c>
      <c r="BF109" s="31">
        <f t="shared" si="23"/>
        <v>0.11523765622969755</v>
      </c>
      <c r="BG109" s="31">
        <f t="shared" si="23"/>
        <v>4.392584976888525E-2</v>
      </c>
      <c r="BH109" s="31">
        <f t="shared" si="23"/>
        <v>0.1466008438715555</v>
      </c>
      <c r="BI109" s="31">
        <f t="shared" si="23"/>
        <v>6.9336499526511844E-2</v>
      </c>
      <c r="BJ109" s="31">
        <f t="shared" si="24"/>
        <v>0.12249567718935822</v>
      </c>
      <c r="BK109" s="31">
        <f t="shared" si="24"/>
        <v>0.10517357688883948</v>
      </c>
      <c r="BL109" s="31">
        <f t="shared" si="24"/>
        <v>0.1533441418955605</v>
      </c>
      <c r="BM109" s="31">
        <f t="shared" si="24"/>
        <v>0.11545391995610012</v>
      </c>
      <c r="BN109" s="31">
        <f t="shared" si="24"/>
        <v>0.11407212909088982</v>
      </c>
      <c r="BO109" s="31">
        <f t="shared" si="24"/>
        <v>5.1415623804257578E-2</v>
      </c>
      <c r="BP109" s="1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</row>
    <row r="110" spans="1:100" customFormat="1">
      <c r="A110" s="20" t="s">
        <v>9</v>
      </c>
      <c r="B110" s="21" t="s">
        <v>6</v>
      </c>
      <c r="C110" s="31">
        <f t="shared" si="23"/>
        <v>0.169939562662555</v>
      </c>
      <c r="D110" s="31">
        <f t="shared" si="23"/>
        <v>0.15165501691087452</v>
      </c>
      <c r="E110" s="31">
        <f t="shared" si="23"/>
        <v>0.18891986717519685</v>
      </c>
      <c r="F110" s="31">
        <f t="shared" si="23"/>
        <v>8.3449237111556093E-2</v>
      </c>
      <c r="G110" s="31">
        <f t="shared" si="23"/>
        <v>0.11667368192652845</v>
      </c>
      <c r="H110" s="31">
        <f t="shared" si="23"/>
        <v>0.11511343696261922</v>
      </c>
      <c r="I110" s="31">
        <f t="shared" si="23"/>
        <v>0.14894434223967043</v>
      </c>
      <c r="J110" s="31">
        <f t="shared" si="23"/>
        <v>0.10031752416177102</v>
      </c>
      <c r="K110" s="31">
        <f t="shared" si="23"/>
        <v>4.1529017349046564E-2</v>
      </c>
      <c r="L110" s="31">
        <f t="shared" si="23"/>
        <v>9.1335211541331188E-2</v>
      </c>
      <c r="M110" s="31">
        <f t="shared" si="23"/>
        <v>4.4207863669400577E-2</v>
      </c>
      <c r="N110" s="31">
        <f t="shared" si="23"/>
        <v>2.0643859845226872E-2</v>
      </c>
      <c r="O110" s="31">
        <f t="shared" si="23"/>
        <v>1.5358773305931418E-2</v>
      </c>
      <c r="P110" s="31">
        <f t="shared" si="23"/>
        <v>4.6763582218077436E-2</v>
      </c>
      <c r="Q110" s="31">
        <f t="shared" si="23"/>
        <v>8.1468328155031897E-2</v>
      </c>
      <c r="R110" s="31">
        <f t="shared" si="23"/>
        <v>7.7751570648653442E-2</v>
      </c>
      <c r="S110" s="31">
        <f t="shared" si="23"/>
        <v>9.8528416280317749E-2</v>
      </c>
      <c r="T110" s="31">
        <f t="shared" si="23"/>
        <v>5.8545369185816584E-2</v>
      </c>
      <c r="U110" s="31">
        <f t="shared" si="23"/>
        <v>0.11945002564580717</v>
      </c>
      <c r="V110" s="31">
        <f t="shared" si="23"/>
        <v>0.13922715960318616</v>
      </c>
      <c r="W110" s="31">
        <f t="shared" si="23"/>
        <v>4.5292250601516558E-2</v>
      </c>
      <c r="X110" s="31">
        <f t="shared" si="23"/>
        <v>0.10367973371124156</v>
      </c>
      <c r="Y110" s="31">
        <f t="shared" si="23"/>
        <v>0.1273010914670534</v>
      </c>
      <c r="Z110" s="31">
        <f t="shared" si="23"/>
        <v>3.1520393814258016E-2</v>
      </c>
      <c r="AA110" s="31">
        <f t="shared" si="23"/>
        <v>0.12219235224423126</v>
      </c>
      <c r="AB110" s="31">
        <f t="shared" si="23"/>
        <v>2.359492370213067E-2</v>
      </c>
      <c r="AC110" s="31">
        <f t="shared" si="23"/>
        <v>7.7929518863180267E-2</v>
      </c>
      <c r="AD110" s="31">
        <f t="shared" si="23"/>
        <v>1.2537212008288265E-2</v>
      </c>
      <c r="AE110" s="31">
        <f t="shared" si="23"/>
        <v>0.13032064701334511</v>
      </c>
      <c r="AF110" s="31">
        <f t="shared" si="23"/>
        <v>1.991011738187436E-2</v>
      </c>
      <c r="AG110" s="31">
        <f t="shared" si="23"/>
        <v>7.0648870888422441E-3</v>
      </c>
      <c r="AH110" s="31">
        <f t="shared" si="23"/>
        <v>3.403701453329689E-2</v>
      </c>
      <c r="AI110" s="31">
        <f t="shared" si="23"/>
        <v>9.0452572097473524E-2</v>
      </c>
      <c r="AJ110" s="31">
        <f t="shared" si="23"/>
        <v>1.6104745035938412E-2</v>
      </c>
      <c r="AK110" s="31">
        <f t="shared" si="23"/>
        <v>9.9231127848018977E-2</v>
      </c>
      <c r="AL110" s="31">
        <f t="shared" si="23"/>
        <v>7.8470615233547245E-2</v>
      </c>
      <c r="AM110" s="31">
        <f t="shared" si="23"/>
        <v>0.10555434256930681</v>
      </c>
      <c r="AN110" s="31">
        <f t="shared" si="23"/>
        <v>3.6498043915778454E-2</v>
      </c>
      <c r="AO110" s="31">
        <f t="shared" si="23"/>
        <v>0.11741903493106658</v>
      </c>
      <c r="AP110" s="31">
        <f t="shared" si="23"/>
        <v>8.9896243782022989E-2</v>
      </c>
      <c r="AQ110" s="31">
        <f t="shared" si="23"/>
        <v>0.103705107302636</v>
      </c>
      <c r="AR110" s="31">
        <f t="shared" si="23"/>
        <v>6.7493513730284796E-2</v>
      </c>
      <c r="AS110" s="31">
        <f t="shared" si="23"/>
        <v>4.0934254457933458E-2</v>
      </c>
      <c r="AT110" s="31">
        <f t="shared" si="23"/>
        <v>2.6892040771291866E-2</v>
      </c>
      <c r="AU110" s="31">
        <f t="shared" si="23"/>
        <v>6.7115405383735491E-2</v>
      </c>
      <c r="AV110" s="31">
        <f t="shared" si="23"/>
        <v>1.994893763659962E-2</v>
      </c>
      <c r="AW110" s="31">
        <f t="shared" si="23"/>
        <v>6.9338665440177499E-2</v>
      </c>
      <c r="AX110" s="31">
        <f t="shared" si="23"/>
        <v>2.7442589203663076E-2</v>
      </c>
      <c r="AY110" s="31">
        <f t="shared" si="23"/>
        <v>4.1255201916427287E-2</v>
      </c>
      <c r="AZ110" s="31">
        <f t="shared" si="23"/>
        <v>5.878563950580061E-2</v>
      </c>
      <c r="BA110" s="31">
        <f t="shared" si="23"/>
        <v>7.058484696849647E-2</v>
      </c>
      <c r="BB110" s="31">
        <f t="shared" si="23"/>
        <v>7.4496039173856013E-2</v>
      </c>
      <c r="BC110" s="31">
        <f t="shared" si="23"/>
        <v>7.5907111990265785E-2</v>
      </c>
      <c r="BD110" s="31">
        <f t="shared" si="23"/>
        <v>1.39823097832227E-2</v>
      </c>
      <c r="BE110" s="31">
        <f t="shared" si="23"/>
        <v>3.1257194783879096E-2</v>
      </c>
      <c r="BF110" s="31">
        <f t="shared" si="23"/>
        <v>3.2901631978618756E-2</v>
      </c>
      <c r="BG110" s="31">
        <f t="shared" si="23"/>
        <v>1.7007574968444607E-2</v>
      </c>
      <c r="BH110" s="31">
        <f t="shared" si="23"/>
        <v>5.5436500829770821E-2</v>
      </c>
      <c r="BI110" s="31">
        <f t="shared" si="23"/>
        <v>2.1391011078887412E-2</v>
      </c>
      <c r="BJ110" s="31">
        <f t="shared" si="24"/>
        <v>4.5107259546397493E-2</v>
      </c>
      <c r="BK110" s="31">
        <f t="shared" si="24"/>
        <v>3.0644751950975092E-2</v>
      </c>
      <c r="BL110" s="31">
        <f t="shared" si="24"/>
        <v>6.1024792773696934E-2</v>
      </c>
      <c r="BM110" s="31">
        <f t="shared" si="24"/>
        <v>3.0952815615962786E-2</v>
      </c>
      <c r="BN110" s="31">
        <f t="shared" si="24"/>
        <v>3.7575668526058342E-2</v>
      </c>
      <c r="BO110" s="31">
        <f t="shared" si="24"/>
        <v>2.2441316375945545E-2</v>
      </c>
      <c r="BP110" s="1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</row>
    <row r="111" spans="1:100" customFormat="1">
      <c r="A111" s="20" t="s">
        <v>10</v>
      </c>
      <c r="B111" s="21" t="s">
        <v>6</v>
      </c>
      <c r="C111" s="31">
        <f t="shared" si="23"/>
        <v>0.29027209110370178</v>
      </c>
      <c r="D111" s="31">
        <f t="shared" si="23"/>
        <v>0.26118624401754198</v>
      </c>
      <c r="E111" s="31">
        <f t="shared" si="23"/>
        <v>0.31749257223124061</v>
      </c>
      <c r="F111" s="31">
        <f t="shared" si="23"/>
        <v>0.15271213447541224</v>
      </c>
      <c r="G111" s="31">
        <f t="shared" si="23"/>
        <v>0.20851065096237062</v>
      </c>
      <c r="H111" s="31">
        <f t="shared" si="23"/>
        <v>0.20549158843277399</v>
      </c>
      <c r="I111" s="31">
        <f t="shared" si="23"/>
        <v>0.25544677509934466</v>
      </c>
      <c r="J111" s="31">
        <f t="shared" si="23"/>
        <v>0.18060509724784879</v>
      </c>
      <c r="K111" s="31">
        <f t="shared" si="23"/>
        <v>7.9575239293575503E-2</v>
      </c>
      <c r="L111" s="31">
        <f t="shared" si="23"/>
        <v>0.1673820038954475</v>
      </c>
      <c r="M111" s="31">
        <f t="shared" ref="M111:BI119" si="25">M72/M91</f>
        <v>8.4672535435716498E-2</v>
      </c>
      <c r="N111" s="31">
        <f t="shared" si="25"/>
        <v>4.0428656928710553E-2</v>
      </c>
      <c r="O111" s="31">
        <f t="shared" si="25"/>
        <v>3.0186674404518651E-2</v>
      </c>
      <c r="P111" s="31">
        <f t="shared" si="25"/>
        <v>8.7992669238665458E-2</v>
      </c>
      <c r="Q111" s="31">
        <f t="shared" si="25"/>
        <v>0.14979412059133917</v>
      </c>
      <c r="R111" s="31">
        <f t="shared" si="25"/>
        <v>0.14427453663575177</v>
      </c>
      <c r="S111" s="31">
        <f t="shared" si="25"/>
        <v>0.17918337719032665</v>
      </c>
      <c r="T111" s="31">
        <f t="shared" si="25"/>
        <v>0.10911301989691147</v>
      </c>
      <c r="U111" s="31">
        <f t="shared" si="25"/>
        <v>0.21282664424333203</v>
      </c>
      <c r="V111" s="31">
        <f t="shared" si="25"/>
        <v>0.24217697152214587</v>
      </c>
      <c r="W111" s="31">
        <f t="shared" si="25"/>
        <v>8.3615984301329049E-2</v>
      </c>
      <c r="X111" s="31">
        <f t="shared" si="25"/>
        <v>0.18705797071242283</v>
      </c>
      <c r="Y111" s="31">
        <f t="shared" si="25"/>
        <v>0.22562554366162221</v>
      </c>
      <c r="Z111" s="31">
        <f t="shared" si="25"/>
        <v>5.8994246562903731E-2</v>
      </c>
      <c r="AA111" s="31">
        <f t="shared" si="25"/>
        <v>0.2173751865608167</v>
      </c>
      <c r="AB111" s="31">
        <f t="shared" si="25"/>
        <v>4.4547052346356641E-2</v>
      </c>
      <c r="AC111" s="31">
        <f t="shared" si="25"/>
        <v>0.14425159518386999</v>
      </c>
      <c r="AD111" s="31">
        <f t="shared" si="25"/>
        <v>2.4505164782232903E-2</v>
      </c>
      <c r="AE111" s="31">
        <f t="shared" si="25"/>
        <v>0.22999149361314219</v>
      </c>
      <c r="AF111" s="31">
        <f t="shared" si="25"/>
        <v>3.7703833535704445E-2</v>
      </c>
      <c r="AG111" s="31">
        <f t="shared" si="25"/>
        <v>1.397006153876615E-2</v>
      </c>
      <c r="AH111" s="31">
        <f t="shared" si="25"/>
        <v>6.5588042415169967E-2</v>
      </c>
      <c r="AI111" s="31">
        <f t="shared" si="25"/>
        <v>0.16586658981171273</v>
      </c>
      <c r="AJ111" s="31">
        <f t="shared" si="25"/>
        <v>3.1698985984695519E-2</v>
      </c>
      <c r="AK111" s="31">
        <f t="shared" si="25"/>
        <v>0.18050621767385122</v>
      </c>
      <c r="AL111" s="31">
        <f t="shared" si="25"/>
        <v>0.14542603551466807</v>
      </c>
      <c r="AM111" s="31">
        <f t="shared" si="25"/>
        <v>0.19081853488493755</v>
      </c>
      <c r="AN111" s="31">
        <f t="shared" si="25"/>
        <v>7.0298935015806613E-2</v>
      </c>
      <c r="AO111" s="31">
        <f t="shared" si="25"/>
        <v>0.21015827581123861</v>
      </c>
      <c r="AP111" s="31">
        <f t="shared" si="25"/>
        <v>0.16490866307996263</v>
      </c>
      <c r="AQ111" s="31">
        <f t="shared" si="25"/>
        <v>0.18787568271161922</v>
      </c>
      <c r="AR111" s="31">
        <f t="shared" si="25"/>
        <v>0.12619667302770854</v>
      </c>
      <c r="AS111" s="31">
        <f t="shared" si="25"/>
        <v>7.8649067955305144E-2</v>
      </c>
      <c r="AT111" s="31">
        <f t="shared" si="25"/>
        <v>5.2374226647041354E-2</v>
      </c>
      <c r="AU111" s="31">
        <f t="shared" si="25"/>
        <v>0.12578846682398093</v>
      </c>
      <c r="AV111" s="31">
        <f t="shared" si="25"/>
        <v>3.9117522261113986E-2</v>
      </c>
      <c r="AW111" s="31">
        <f t="shared" si="25"/>
        <v>0.12968513658231046</v>
      </c>
      <c r="AX111" s="31">
        <f t="shared" si="25"/>
        <v>5.3419216785500247E-2</v>
      </c>
      <c r="AY111" s="31">
        <f t="shared" si="25"/>
        <v>7.9241288476633212E-2</v>
      </c>
      <c r="AZ111" s="31">
        <f t="shared" si="25"/>
        <v>0.11104351497105576</v>
      </c>
      <c r="BA111" s="31">
        <f t="shared" si="25"/>
        <v>0.1318622193623735</v>
      </c>
      <c r="BB111" s="31">
        <f t="shared" si="25"/>
        <v>0.13866228717070661</v>
      </c>
      <c r="BC111" s="31">
        <f t="shared" si="25"/>
        <v>0.14110346728696513</v>
      </c>
      <c r="BD111" s="31">
        <f t="shared" si="25"/>
        <v>2.7579001425008985E-2</v>
      </c>
      <c r="BE111" s="31">
        <f t="shared" si="25"/>
        <v>6.0619591197964312E-2</v>
      </c>
      <c r="BF111" s="31">
        <f t="shared" si="25"/>
        <v>6.3705617572176423E-2</v>
      </c>
      <c r="BG111" s="31">
        <f t="shared" si="25"/>
        <v>3.3439374730596258E-2</v>
      </c>
      <c r="BH111" s="31">
        <f t="shared" si="25"/>
        <v>0.10504942890678377</v>
      </c>
      <c r="BI111" s="31">
        <f t="shared" si="25"/>
        <v>4.1886037466282874E-2</v>
      </c>
      <c r="BJ111" s="31">
        <f t="shared" si="24"/>
        <v>8.6320823311427694E-2</v>
      </c>
      <c r="BK111" s="31">
        <f t="shared" si="24"/>
        <v>5.9467147905164483E-2</v>
      </c>
      <c r="BL111" s="31">
        <f t="shared" si="24"/>
        <v>0.11502990917708507</v>
      </c>
      <c r="BM111" s="31">
        <f t="shared" si="24"/>
        <v>6.0047007287078256E-2</v>
      </c>
      <c r="BN111" s="31">
        <f t="shared" si="24"/>
        <v>7.2429741108784765E-2</v>
      </c>
      <c r="BO111" s="31">
        <f t="shared" si="24"/>
        <v>4.3897514735591947E-2</v>
      </c>
      <c r="BP111" s="1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</row>
    <row r="112" spans="1:100" customFormat="1">
      <c r="A112" s="20" t="s">
        <v>10</v>
      </c>
      <c r="B112" s="21" t="s">
        <v>8</v>
      </c>
      <c r="C112" s="31">
        <f t="shared" ref="C112:AG119" si="26">C73/C92</f>
        <v>0.45418787653916481</v>
      </c>
      <c r="D112" s="31">
        <f t="shared" si="26"/>
        <v>0.36793317712909934</v>
      </c>
      <c r="E112" s="31">
        <f t="shared" si="26"/>
        <v>0.44485935527106657</v>
      </c>
      <c r="F112" s="31">
        <f t="shared" si="26"/>
        <v>0.19765066185767097</v>
      </c>
      <c r="G112" s="31">
        <f t="shared" si="26"/>
        <v>0.3170254910721409</v>
      </c>
      <c r="H112" s="31">
        <f t="shared" si="26"/>
        <v>0.30093817932591505</v>
      </c>
      <c r="I112" s="31">
        <f t="shared" si="26"/>
        <v>0.37782842618325718</v>
      </c>
      <c r="J112" s="31">
        <f t="shared" si="26"/>
        <v>0.25283933707637574</v>
      </c>
      <c r="K112" s="31">
        <f t="shared" si="26"/>
        <v>0.11971062723357258</v>
      </c>
      <c r="L112" s="31">
        <f t="shared" si="26"/>
        <v>0.2698593085330927</v>
      </c>
      <c r="M112" s="31">
        <f t="shared" si="26"/>
        <v>0.10183696357953641</v>
      </c>
      <c r="N112" s="31">
        <f t="shared" si="26"/>
        <v>4.6720907619806781E-2</v>
      </c>
      <c r="O112" s="31">
        <f t="shared" si="26"/>
        <v>3.3692790430911272E-2</v>
      </c>
      <c r="P112" s="31">
        <f t="shared" si="26"/>
        <v>0.14355536989252837</v>
      </c>
      <c r="Q112" s="31">
        <f t="shared" si="26"/>
        <v>0.24002889381254897</v>
      </c>
      <c r="R112" s="31">
        <f t="shared" si="26"/>
        <v>0.27436349784152136</v>
      </c>
      <c r="S112" s="31">
        <f t="shared" si="26"/>
        <v>0.30164266736140066</v>
      </c>
      <c r="T112" s="31">
        <f t="shared" si="26"/>
        <v>0.12976505681116426</v>
      </c>
      <c r="U112" s="31">
        <f t="shared" si="26"/>
        <v>0.33048257429900441</v>
      </c>
      <c r="V112" s="31">
        <f t="shared" si="26"/>
        <v>0.42600226501966237</v>
      </c>
      <c r="W112" s="31">
        <f t="shared" si="26"/>
        <v>0.13259468919699818</v>
      </c>
      <c r="X112" s="31">
        <f t="shared" si="26"/>
        <v>0.26269938948011401</v>
      </c>
      <c r="Y112" s="31">
        <f t="shared" si="26"/>
        <v>0.3736745207135827</v>
      </c>
      <c r="Z112" s="31">
        <f t="shared" si="26"/>
        <v>7.8464939182890478E-2</v>
      </c>
      <c r="AA112" s="31">
        <f t="shared" si="26"/>
        <v>0.33532722839575507</v>
      </c>
      <c r="AB112" s="31">
        <f t="shared" si="26"/>
        <v>5.779363103457956E-2</v>
      </c>
      <c r="AC112" s="31">
        <f t="shared" si="26"/>
        <v>0.22672568380781136</v>
      </c>
      <c r="AD112" s="31">
        <f t="shared" si="26"/>
        <v>3.3200975200354615E-2</v>
      </c>
      <c r="AE112" s="31">
        <f t="shared" si="26"/>
        <v>0.34075098845034474</v>
      </c>
      <c r="AF112" s="31">
        <f t="shared" si="26"/>
        <v>4.4462351408885416E-2</v>
      </c>
      <c r="AG112" s="31">
        <f t="shared" si="26"/>
        <v>1.9877404910092378E-2</v>
      </c>
      <c r="AH112" s="31">
        <f t="shared" si="25"/>
        <v>8.8018499090197794E-2</v>
      </c>
      <c r="AI112" s="31">
        <f t="shared" si="25"/>
        <v>0.26057962907530241</v>
      </c>
      <c r="AJ112" s="31">
        <f t="shared" si="25"/>
        <v>4.0344353571684699E-2</v>
      </c>
      <c r="AK112" s="31">
        <f t="shared" si="25"/>
        <v>0.33876748625218012</v>
      </c>
      <c r="AL112" s="31">
        <f t="shared" si="25"/>
        <v>0.24064454376645786</v>
      </c>
      <c r="AM112" s="31">
        <f t="shared" si="25"/>
        <v>0.30978756081444858</v>
      </c>
      <c r="AN112" s="31">
        <f t="shared" si="25"/>
        <v>0.10128104041442597</v>
      </c>
      <c r="AO112" s="31">
        <f t="shared" si="25"/>
        <v>0.30595927918928906</v>
      </c>
      <c r="AP112" s="31">
        <f t="shared" si="25"/>
        <v>0.26677512714739288</v>
      </c>
      <c r="AQ112" s="31">
        <f t="shared" si="25"/>
        <v>0.29675119318798437</v>
      </c>
      <c r="AR112" s="31">
        <f t="shared" si="25"/>
        <v>0.20603494025220218</v>
      </c>
      <c r="AS112" s="31">
        <f t="shared" si="25"/>
        <v>0.11268483454335287</v>
      </c>
      <c r="AT112" s="31">
        <f t="shared" si="25"/>
        <v>6.7137336189849073E-2</v>
      </c>
      <c r="AU112" s="31">
        <f t="shared" si="25"/>
        <v>0.27829527232059587</v>
      </c>
      <c r="AV112" s="31">
        <f t="shared" si="25"/>
        <v>5.2850810201112264E-2</v>
      </c>
      <c r="AW112" s="31">
        <f t="shared" si="25"/>
        <v>0.17551967291342144</v>
      </c>
      <c r="AX112" s="31">
        <f t="shared" si="25"/>
        <v>7.4219217088012726E-2</v>
      </c>
      <c r="AY112" s="31">
        <f t="shared" si="25"/>
        <v>0.15234883843664801</v>
      </c>
      <c r="AZ112" s="31">
        <f t="shared" si="25"/>
        <v>0.20261113495102806</v>
      </c>
      <c r="BA112" s="31">
        <f t="shared" si="25"/>
        <v>0.22136970847072962</v>
      </c>
      <c r="BB112" s="31">
        <f t="shared" si="25"/>
        <v>0.30398159806984665</v>
      </c>
      <c r="BC112" s="31">
        <f t="shared" si="25"/>
        <v>0.26100844038105286</v>
      </c>
      <c r="BD112" s="31">
        <f t="shared" si="25"/>
        <v>0.1398094477898533</v>
      </c>
      <c r="BE112" s="31">
        <f t="shared" si="25"/>
        <v>0.12584426397815185</v>
      </c>
      <c r="BF112" s="31">
        <f t="shared" si="25"/>
        <v>0.1465525144913726</v>
      </c>
      <c r="BG112" s="31">
        <f t="shared" si="25"/>
        <v>5.0791329128031852E-2</v>
      </c>
      <c r="BH112" s="31">
        <f t="shared" si="25"/>
        <v>0.17222261035169892</v>
      </c>
      <c r="BI112" s="31">
        <f t="shared" si="25"/>
        <v>8.6779330150424869E-2</v>
      </c>
      <c r="BJ112" s="31">
        <f t="shared" si="24"/>
        <v>0.14506177845560736</v>
      </c>
      <c r="BK112" s="31">
        <f t="shared" si="24"/>
        <v>0.13325401636844258</v>
      </c>
      <c r="BL112" s="31">
        <f t="shared" si="24"/>
        <v>0.17709556751491332</v>
      </c>
      <c r="BM112" s="31">
        <f t="shared" si="24"/>
        <v>0.14890014250989381</v>
      </c>
      <c r="BN112" s="31">
        <f t="shared" si="24"/>
        <v>0.13981686696433279</v>
      </c>
      <c r="BO112" s="31">
        <f t="shared" si="24"/>
        <v>5.6362353440097379E-2</v>
      </c>
      <c r="BP112" s="1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</row>
    <row r="113" spans="1:100" customFormat="1">
      <c r="A113" s="20" t="s">
        <v>11</v>
      </c>
      <c r="B113" s="21" t="s">
        <v>8</v>
      </c>
      <c r="C113" s="31">
        <f t="shared" si="26"/>
        <v>0.50034698375549558</v>
      </c>
      <c r="D113" s="31">
        <f t="shared" si="26"/>
        <v>0.40246682430159647</v>
      </c>
      <c r="E113" s="31">
        <f t="shared" si="26"/>
        <v>0.48342017269796289</v>
      </c>
      <c r="F113" s="31">
        <f t="shared" si="26"/>
        <v>0.21431906727019825</v>
      </c>
      <c r="G113" s="31">
        <f t="shared" si="26"/>
        <v>0.3525331150626716</v>
      </c>
      <c r="H113" s="31">
        <f t="shared" si="26"/>
        <v>0.33299010941091139</v>
      </c>
      <c r="I113" s="31">
        <f t="shared" si="26"/>
        <v>0.41621119604972079</v>
      </c>
      <c r="J113" s="31">
        <f t="shared" si="26"/>
        <v>0.2782884979397055</v>
      </c>
      <c r="K113" s="31">
        <f t="shared" si="26"/>
        <v>0.13480151924458847</v>
      </c>
      <c r="L113" s="31">
        <f t="shared" si="26"/>
        <v>0.30411850553971231</v>
      </c>
      <c r="M113" s="31">
        <f t="shared" si="26"/>
        <v>0.10852382889202625</v>
      </c>
      <c r="N113" s="31">
        <f t="shared" si="26"/>
        <v>4.9214762448326455E-2</v>
      </c>
      <c r="O113" s="31">
        <f t="shared" si="26"/>
        <v>3.5088148822544914E-2</v>
      </c>
      <c r="P113" s="31">
        <f t="shared" si="26"/>
        <v>0.16392990455769507</v>
      </c>
      <c r="Q113" s="31">
        <f t="shared" si="26"/>
        <v>0.270978160097404</v>
      </c>
      <c r="R113" s="31">
        <f t="shared" si="26"/>
        <v>0.31595915740533259</v>
      </c>
      <c r="S113" s="31">
        <f t="shared" si="26"/>
        <v>0.34097139116989877</v>
      </c>
      <c r="T113" s="31">
        <f t="shared" si="26"/>
        <v>0.13776023814770136</v>
      </c>
      <c r="U113" s="31">
        <f t="shared" si="26"/>
        <v>0.36825256797647682</v>
      </c>
      <c r="V113" s="31">
        <f t="shared" si="26"/>
        <v>0.47677024617086333</v>
      </c>
      <c r="W113" s="31">
        <f t="shared" si="26"/>
        <v>0.15075088616972193</v>
      </c>
      <c r="X113" s="31">
        <f t="shared" si="26"/>
        <v>0.28915601047071599</v>
      </c>
      <c r="Y113" s="31">
        <f t="shared" si="26"/>
        <v>0.41816948649503977</v>
      </c>
      <c r="Z113" s="31">
        <f t="shared" si="26"/>
        <v>8.6029458069476206E-2</v>
      </c>
      <c r="AA113" s="31">
        <f t="shared" si="26"/>
        <v>0.37311897514321857</v>
      </c>
      <c r="AB113" s="31">
        <f t="shared" si="26"/>
        <v>6.298998400580702E-2</v>
      </c>
      <c r="AC113" s="31">
        <f t="shared" si="26"/>
        <v>0.25542934747238699</v>
      </c>
      <c r="AD113" s="31">
        <f t="shared" si="26"/>
        <v>3.6636044262866582E-2</v>
      </c>
      <c r="AE113" s="31">
        <f t="shared" si="26"/>
        <v>0.37661835142823002</v>
      </c>
      <c r="AF113" s="31">
        <f t="shared" si="26"/>
        <v>4.7139251359138233E-2</v>
      </c>
      <c r="AG113" s="31">
        <f t="shared" si="26"/>
        <v>2.2220570611463052E-2</v>
      </c>
      <c r="AH113" s="31">
        <f t="shared" si="25"/>
        <v>9.6692022704473621E-2</v>
      </c>
      <c r="AI113" s="31">
        <f t="shared" si="25"/>
        <v>0.29270405786346648</v>
      </c>
      <c r="AJ113" s="31">
        <f t="shared" si="25"/>
        <v>4.3759428480301822E-2</v>
      </c>
      <c r="AK113" s="31">
        <f t="shared" si="25"/>
        <v>0.38618375230757346</v>
      </c>
      <c r="AL113" s="31">
        <f t="shared" si="25"/>
        <v>0.27304415077745381</v>
      </c>
      <c r="AM113" s="31">
        <f t="shared" si="25"/>
        <v>0.34812409929311616</v>
      </c>
      <c r="AN113" s="31">
        <f t="shared" si="25"/>
        <v>0.11310330370197418</v>
      </c>
      <c r="AO113" s="31">
        <f t="shared" si="25"/>
        <v>0.33807366616178602</v>
      </c>
      <c r="AP113" s="31">
        <f t="shared" si="25"/>
        <v>0.3008869294528142</v>
      </c>
      <c r="AQ113" s="31">
        <f t="shared" si="25"/>
        <v>0.3325435749460468</v>
      </c>
      <c r="AR113" s="31">
        <f t="shared" si="25"/>
        <v>0.23402923893272309</v>
      </c>
      <c r="AS113" s="31">
        <f t="shared" si="25"/>
        <v>0.12560529430468376</v>
      </c>
      <c r="AT113" s="31">
        <f t="shared" si="25"/>
        <v>7.2914580326111159E-2</v>
      </c>
      <c r="AU113" s="31">
        <f t="shared" si="25"/>
        <v>0.32537106565785456</v>
      </c>
      <c r="AV113" s="31">
        <f t="shared" si="25"/>
        <v>5.8234832707060875E-2</v>
      </c>
      <c r="AW113" s="31">
        <f t="shared" si="25"/>
        <v>0.19252962271419363</v>
      </c>
      <c r="AX113" s="31">
        <f t="shared" si="25"/>
        <v>8.2285496182419496E-2</v>
      </c>
      <c r="AY113" s="31">
        <f t="shared" si="25"/>
        <v>0.17844129599220621</v>
      </c>
      <c r="AZ113" s="31">
        <f t="shared" si="25"/>
        <v>0.23416528342761478</v>
      </c>
      <c r="BA113" s="31">
        <f t="shared" si="25"/>
        <v>0.25220944672226742</v>
      </c>
      <c r="BB113" s="31">
        <f t="shared" si="25"/>
        <v>0.35360728888975018</v>
      </c>
      <c r="BC113" s="31">
        <f t="shared" si="25"/>
        <v>0.30009227139904615</v>
      </c>
      <c r="BD113" s="31">
        <f t="shared" si="25"/>
        <v>0.17776809093122334</v>
      </c>
      <c r="BE113" s="31">
        <f t="shared" si="25"/>
        <v>0.14946654346007757</v>
      </c>
      <c r="BF113" s="31">
        <f t="shared" si="25"/>
        <v>0.17572646072997</v>
      </c>
      <c r="BG113" s="31">
        <f t="shared" si="25"/>
        <v>5.7558910747003547E-2</v>
      </c>
      <c r="BH113" s="31">
        <f t="shared" si="25"/>
        <v>0.19635072656555555</v>
      </c>
      <c r="BI113" s="31">
        <f t="shared" si="25"/>
        <v>0.10358035018791903</v>
      </c>
      <c r="BJ113" s="31">
        <f t="shared" si="24"/>
        <v>0.16649634842666727</v>
      </c>
      <c r="BK113" s="31">
        <f t="shared" si="24"/>
        <v>0.15962570036397841</v>
      </c>
      <c r="BL113" s="31">
        <f t="shared" si="24"/>
        <v>0.19955074888286656</v>
      </c>
      <c r="BM113" s="31">
        <f t="shared" si="24"/>
        <v>0.17990919908756248</v>
      </c>
      <c r="BN113" s="31">
        <f t="shared" si="24"/>
        <v>0.16410759268080771</v>
      </c>
      <c r="BO113" s="31">
        <f t="shared" si="24"/>
        <v>6.1257757777915034E-2</v>
      </c>
      <c r="BP113" s="1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</row>
    <row r="114" spans="1:100" customFormat="1">
      <c r="A114" s="20" t="s">
        <v>12</v>
      </c>
      <c r="B114" s="21" t="s">
        <v>8</v>
      </c>
      <c r="C114" s="31">
        <f t="shared" si="26"/>
        <v>0.55659486865476981</v>
      </c>
      <c r="D114" s="31">
        <f t="shared" si="26"/>
        <v>0.44772779829973025</v>
      </c>
      <c r="E114" s="31">
        <f t="shared" si="26"/>
        <v>0.53216486162023813</v>
      </c>
      <c r="F114" s="31">
        <f t="shared" si="26"/>
        <v>0.23806237573308728</v>
      </c>
      <c r="G114" s="31">
        <f t="shared" si="26"/>
        <v>0.39937274070612844</v>
      </c>
      <c r="H114" s="31">
        <f t="shared" si="26"/>
        <v>0.37591170879923824</v>
      </c>
      <c r="I114" s="31">
        <f t="shared" si="26"/>
        <v>0.46565784286775197</v>
      </c>
      <c r="J114" s="31">
        <f t="shared" si="26"/>
        <v>0.31336964047118976</v>
      </c>
      <c r="K114" s="31">
        <f t="shared" si="26"/>
        <v>0.15649203600346981</v>
      </c>
      <c r="L114" s="31">
        <f t="shared" si="26"/>
        <v>0.3498755913744323</v>
      </c>
      <c r="M114" s="31">
        <f t="shared" si="26"/>
        <v>0.11836949862957562</v>
      </c>
      <c r="N114" s="31">
        <f t="shared" si="26"/>
        <v>5.2931174852751582E-2</v>
      </c>
      <c r="O114" s="31">
        <f t="shared" si="26"/>
        <v>3.7173646816810041E-2</v>
      </c>
      <c r="P114" s="31">
        <f t="shared" si="26"/>
        <v>0.19273669534105281</v>
      </c>
      <c r="Q114" s="31">
        <f t="shared" si="26"/>
        <v>0.31294771142185751</v>
      </c>
      <c r="R114" s="31">
        <f t="shared" si="26"/>
        <v>0.37011914558420667</v>
      </c>
      <c r="S114" s="31">
        <f t="shared" si="26"/>
        <v>0.39230579366814966</v>
      </c>
      <c r="T114" s="31">
        <f t="shared" si="26"/>
        <v>0.14948129916096006</v>
      </c>
      <c r="U114" s="31">
        <f t="shared" si="26"/>
        <v>0.41754064883801467</v>
      </c>
      <c r="V114" s="31">
        <f t="shared" si="26"/>
        <v>0.53805609619765715</v>
      </c>
      <c r="W114" s="31">
        <f t="shared" si="26"/>
        <v>0.17660342066800441</v>
      </c>
      <c r="X114" s="31">
        <f t="shared" si="26"/>
        <v>0.32546272854530472</v>
      </c>
      <c r="Y114" s="31">
        <f t="shared" si="26"/>
        <v>0.4741997709981709</v>
      </c>
      <c r="Z114" s="31">
        <f t="shared" si="26"/>
        <v>9.7146215523782983E-2</v>
      </c>
      <c r="AA114" s="31">
        <f t="shared" si="26"/>
        <v>0.42238199790673114</v>
      </c>
      <c r="AB114" s="31">
        <f t="shared" si="26"/>
        <v>7.0677926388968471E-2</v>
      </c>
      <c r="AC114" s="31">
        <f t="shared" si="26"/>
        <v>0.29470006614266192</v>
      </c>
      <c r="AD114" s="31">
        <f t="shared" si="26"/>
        <v>4.1743122059158394E-2</v>
      </c>
      <c r="AE114" s="31">
        <f t="shared" si="26"/>
        <v>0.42365373626780289</v>
      </c>
      <c r="AF114" s="31">
        <f t="shared" si="26"/>
        <v>5.1126596864667501E-2</v>
      </c>
      <c r="AG114" s="31">
        <f t="shared" si="26"/>
        <v>2.5714387571430394E-2</v>
      </c>
      <c r="AH114" s="31">
        <f t="shared" si="25"/>
        <v>0.10939731888301345</v>
      </c>
      <c r="AI114" s="31">
        <f t="shared" si="25"/>
        <v>0.33597718339121341</v>
      </c>
      <c r="AJ114" s="31">
        <f t="shared" si="25"/>
        <v>4.8836708911284069E-2</v>
      </c>
      <c r="AK114" s="31">
        <f t="shared" si="25"/>
        <v>0.44579582259691442</v>
      </c>
      <c r="AL114" s="31">
        <f t="shared" si="25"/>
        <v>0.31677137762843482</v>
      </c>
      <c r="AM114" s="31">
        <f t="shared" si="25"/>
        <v>0.3982580215496716</v>
      </c>
      <c r="AN114" s="31">
        <f t="shared" si="25"/>
        <v>0.13026479529640483</v>
      </c>
      <c r="AO114" s="31">
        <f t="shared" si="25"/>
        <v>0.38103447076407176</v>
      </c>
      <c r="AP114" s="31">
        <f t="shared" si="25"/>
        <v>0.34649165769451967</v>
      </c>
      <c r="AQ114" s="31">
        <f t="shared" si="25"/>
        <v>0.37988538119253468</v>
      </c>
      <c r="AR114" s="31">
        <f t="shared" si="25"/>
        <v>0.2725051896549095</v>
      </c>
      <c r="AS114" s="31">
        <f t="shared" si="25"/>
        <v>0.14429554453621479</v>
      </c>
      <c r="AT114" s="31">
        <f t="shared" si="25"/>
        <v>8.1447511565925487E-2</v>
      </c>
      <c r="AU114" s="31">
        <f t="shared" si="25"/>
        <v>0.38549593133724963</v>
      </c>
      <c r="AV114" s="31">
        <f t="shared" si="25"/>
        <v>6.6197067263333742E-2</v>
      </c>
      <c r="AW114" s="31">
        <f t="shared" si="25"/>
        <v>0.2167680473777801</v>
      </c>
      <c r="AX114" s="31">
        <f t="shared" si="25"/>
        <v>9.4124760895303916E-2</v>
      </c>
      <c r="AY114" s="31">
        <f t="shared" si="25"/>
        <v>0.21470098987215933</v>
      </c>
      <c r="AZ114" s="31">
        <f t="shared" si="25"/>
        <v>0.27707641346695167</v>
      </c>
      <c r="BA114" s="31">
        <f t="shared" si="25"/>
        <v>0.29414534318668101</v>
      </c>
      <c r="BB114" s="31">
        <f t="shared" si="25"/>
        <v>0.4160592246976173</v>
      </c>
      <c r="BC114" s="31">
        <f t="shared" si="25"/>
        <v>0.35153625684553685</v>
      </c>
      <c r="BD114" s="31">
        <f t="shared" si="25"/>
        <v>0.22881460247226065</v>
      </c>
      <c r="BE114" s="31">
        <f t="shared" si="25"/>
        <v>0.18259942367846885</v>
      </c>
      <c r="BF114" s="31">
        <f t="shared" si="25"/>
        <v>0.2159300162084874</v>
      </c>
      <c r="BG114" s="31">
        <f t="shared" si="25"/>
        <v>6.7531256953934762E-2</v>
      </c>
      <c r="BH114" s="31">
        <f t="shared" si="25"/>
        <v>0.23001604975505657</v>
      </c>
      <c r="BI114" s="31">
        <f t="shared" si="25"/>
        <v>0.12765389272560809</v>
      </c>
      <c r="BJ114" s="31">
        <f t="shared" si="24"/>
        <v>0.19670600719872566</v>
      </c>
      <c r="BK114" s="31">
        <f t="shared" si="24"/>
        <v>0.19630560709380715</v>
      </c>
      <c r="BL114" s="31">
        <f t="shared" si="24"/>
        <v>0.23102606105390106</v>
      </c>
      <c r="BM114" s="31">
        <f t="shared" si="24"/>
        <v>0.22240562490570934</v>
      </c>
      <c r="BN114" s="31">
        <f t="shared" si="24"/>
        <v>0.19807591396808708</v>
      </c>
      <c r="BO114" s="31">
        <f t="shared" si="24"/>
        <v>6.8506363225261074E-2</v>
      </c>
      <c r="BP114" s="1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</row>
    <row r="115" spans="1:100" customFormat="1">
      <c r="A115" s="20" t="s">
        <v>12</v>
      </c>
      <c r="B115" s="21" t="s">
        <v>13</v>
      </c>
      <c r="C115" s="31">
        <f t="shared" si="26"/>
        <v>0.63792375485283781</v>
      </c>
      <c r="D115" s="31">
        <f t="shared" si="26"/>
        <v>0.46811836005837609</v>
      </c>
      <c r="E115" s="31">
        <f t="shared" si="26"/>
        <v>0.55686438477108113</v>
      </c>
      <c r="F115" s="31">
        <f t="shared" si="26"/>
        <v>0.25451777707934142</v>
      </c>
      <c r="G115" s="31">
        <f t="shared" si="26"/>
        <v>0.52125607607967239</v>
      </c>
      <c r="H115" s="31">
        <f t="shared" si="26"/>
        <v>0.46022343437461422</v>
      </c>
      <c r="I115" s="31">
        <f t="shared" si="26"/>
        <v>0.49246309272367705</v>
      </c>
      <c r="J115" s="31">
        <f t="shared" si="26"/>
        <v>0.37758722866064831</v>
      </c>
      <c r="K115" s="31">
        <f t="shared" si="26"/>
        <v>0.20964900455308222</v>
      </c>
      <c r="L115" s="31">
        <f t="shared" si="26"/>
        <v>0.35146136766914626</v>
      </c>
      <c r="M115" s="31">
        <f t="shared" si="26"/>
        <v>0.11844695756853736</v>
      </c>
      <c r="N115" s="31">
        <f t="shared" si="26"/>
        <v>5.4688882106242856E-2</v>
      </c>
      <c r="O115" s="31">
        <f t="shared" si="26"/>
        <v>3.7829294251427427E-2</v>
      </c>
      <c r="P115" s="31">
        <f t="shared" si="26"/>
        <v>0.19376549861398348</v>
      </c>
      <c r="Q115" s="31">
        <f t="shared" si="26"/>
        <v>0.31346040143545384</v>
      </c>
      <c r="R115" s="31">
        <f t="shared" si="26"/>
        <v>0.3710203779138449</v>
      </c>
      <c r="S115" s="31">
        <f t="shared" si="26"/>
        <v>0.4041322653949182</v>
      </c>
      <c r="T115" s="31">
        <f t="shared" si="26"/>
        <v>0.1529548227471024</v>
      </c>
      <c r="U115" s="31">
        <f t="shared" si="26"/>
        <v>0.5713944240985096</v>
      </c>
      <c r="V115" s="31">
        <f t="shared" si="26"/>
        <v>0.68310923125571332</v>
      </c>
      <c r="W115" s="31">
        <f t="shared" si="26"/>
        <v>0.23691240553563675</v>
      </c>
      <c r="X115" s="31">
        <f t="shared" si="26"/>
        <v>0.46137924773866651</v>
      </c>
      <c r="Y115" s="31">
        <f t="shared" si="26"/>
        <v>0.61992094372184847</v>
      </c>
      <c r="Z115" s="31">
        <f t="shared" si="26"/>
        <v>9.7215540202275477E-2</v>
      </c>
      <c r="AA115" s="31">
        <f t="shared" si="26"/>
        <v>0.54414515781702832</v>
      </c>
      <c r="AB115" s="31">
        <f t="shared" si="26"/>
        <v>9.917423451155849E-2</v>
      </c>
      <c r="AC115" s="31">
        <f t="shared" si="26"/>
        <v>0.44295842448777495</v>
      </c>
      <c r="AD115" s="31">
        <f t="shared" si="26"/>
        <v>0.21252877674393345</v>
      </c>
      <c r="AE115" s="31">
        <f t="shared" si="26"/>
        <v>0.62546417843856128</v>
      </c>
      <c r="AF115" s="31">
        <f t="shared" si="26"/>
        <v>0.27658011541836841</v>
      </c>
      <c r="AG115" s="31">
        <f t="shared" si="26"/>
        <v>0.31152186479719562</v>
      </c>
      <c r="AH115" s="31">
        <f t="shared" si="25"/>
        <v>0.51403488571390976</v>
      </c>
      <c r="AI115" s="31">
        <f t="shared" si="25"/>
        <v>0.57981741180185087</v>
      </c>
      <c r="AJ115" s="31">
        <f t="shared" si="25"/>
        <v>0.51162145261404879</v>
      </c>
      <c r="AK115" s="31">
        <f t="shared" si="25"/>
        <v>0.49924131528552718</v>
      </c>
      <c r="AL115" s="31">
        <f t="shared" si="25"/>
        <v>0.53441305924261817</v>
      </c>
      <c r="AM115" s="31">
        <f t="shared" si="25"/>
        <v>0.55572156239839032</v>
      </c>
      <c r="AN115" s="31">
        <f t="shared" si="25"/>
        <v>0.43739353975149398</v>
      </c>
      <c r="AO115" s="31">
        <f t="shared" si="25"/>
        <v>0.65723378910668739</v>
      </c>
      <c r="AP115" s="31">
        <f t="shared" si="25"/>
        <v>0.58837163161956052</v>
      </c>
      <c r="AQ115" s="31">
        <f t="shared" si="25"/>
        <v>0.62144060717314864</v>
      </c>
      <c r="AR115" s="31">
        <f t="shared" si="25"/>
        <v>0.3325322257923044</v>
      </c>
      <c r="AS115" s="31">
        <f t="shared" si="25"/>
        <v>0.14429554453621479</v>
      </c>
      <c r="AT115" s="31">
        <f t="shared" si="25"/>
        <v>8.1501581160444397E-2</v>
      </c>
      <c r="AU115" s="31">
        <f t="shared" si="25"/>
        <v>0.65090960596568725</v>
      </c>
      <c r="AV115" s="31">
        <f t="shared" si="25"/>
        <v>6.7355904057407212E-2</v>
      </c>
      <c r="AW115" s="31">
        <f t="shared" si="25"/>
        <v>0.22819403212860859</v>
      </c>
      <c r="AX115" s="31">
        <f t="shared" si="25"/>
        <v>0.17385081754528356</v>
      </c>
      <c r="AY115" s="31">
        <f t="shared" si="25"/>
        <v>0.41507767647028465</v>
      </c>
      <c r="AZ115" s="31">
        <f t="shared" si="25"/>
        <v>0.35271733373103265</v>
      </c>
      <c r="BA115" s="31">
        <f t="shared" si="25"/>
        <v>0.42437738638554234</v>
      </c>
      <c r="BB115" s="31">
        <f t="shared" si="25"/>
        <v>0.46218590010386212</v>
      </c>
      <c r="BC115" s="31">
        <f t="shared" si="25"/>
        <v>0.44709621084111389</v>
      </c>
      <c r="BD115" s="31">
        <f t="shared" si="25"/>
        <v>0.28653754558444833</v>
      </c>
      <c r="BE115" s="31">
        <f t="shared" si="25"/>
        <v>0.22352222137947464</v>
      </c>
      <c r="BF115" s="31">
        <f t="shared" si="25"/>
        <v>0.32932741696548246</v>
      </c>
      <c r="BG115" s="31">
        <f t="shared" si="25"/>
        <v>6.7531256953934762E-2</v>
      </c>
      <c r="BH115" s="31">
        <f t="shared" si="25"/>
        <v>0.58999462883174292</v>
      </c>
      <c r="BI115" s="31">
        <f t="shared" si="25"/>
        <v>0.15470806042623089</v>
      </c>
      <c r="BJ115" s="31">
        <f t="shared" si="24"/>
        <v>0.23386600473389652</v>
      </c>
      <c r="BK115" s="31">
        <f t="shared" si="24"/>
        <v>0.19709636329035454</v>
      </c>
      <c r="BL115" s="31">
        <f t="shared" si="24"/>
        <v>0.26132497785069098</v>
      </c>
      <c r="BM115" s="31">
        <f t="shared" si="24"/>
        <v>0.45544574213959588</v>
      </c>
      <c r="BN115" s="31">
        <f t="shared" si="24"/>
        <v>0.24314183767802289</v>
      </c>
      <c r="BO115" s="31">
        <f t="shared" si="24"/>
        <v>6.8514489331339024E-2</v>
      </c>
      <c r="BP115" s="1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</row>
    <row r="116" spans="1:100" customFormat="1">
      <c r="A116" s="20" t="s">
        <v>12</v>
      </c>
      <c r="B116" s="21" t="s">
        <v>14</v>
      </c>
      <c r="C116" s="31">
        <f t="shared" si="26"/>
        <v>0.53952167956860042</v>
      </c>
      <c r="D116" s="31">
        <f t="shared" si="26"/>
        <v>0.52199499745740485</v>
      </c>
      <c r="E116" s="31">
        <f t="shared" si="26"/>
        <v>0.49529616634718804</v>
      </c>
      <c r="F116" s="31">
        <f t="shared" si="26"/>
        <v>0.25532754209624409</v>
      </c>
      <c r="G116" s="31">
        <f t="shared" si="26"/>
        <v>0.38957022497443988</v>
      </c>
      <c r="H116" s="31">
        <f t="shared" si="26"/>
        <v>0.59004881890847416</v>
      </c>
      <c r="I116" s="31">
        <f t="shared" si="26"/>
        <v>0.52338683891884197</v>
      </c>
      <c r="J116" s="31">
        <f t="shared" si="26"/>
        <v>0.44810049081908093</v>
      </c>
      <c r="K116" s="31">
        <f t="shared" si="26"/>
        <v>0.25585755987324954</v>
      </c>
      <c r="L116" s="31">
        <f t="shared" si="26"/>
        <v>0.33324123231941405</v>
      </c>
      <c r="M116" s="31">
        <f t="shared" si="26"/>
        <v>0.14295662803887374</v>
      </c>
      <c r="N116" s="31">
        <f t="shared" si="26"/>
        <v>7.3545563247508508E-2</v>
      </c>
      <c r="O116" s="31">
        <f t="shared" si="26"/>
        <v>7.4318891416035648E-2</v>
      </c>
      <c r="P116" s="31">
        <f t="shared" si="26"/>
        <v>0.15296893015810659</v>
      </c>
      <c r="Q116" s="31">
        <f t="shared" si="26"/>
        <v>0.26289911202407729</v>
      </c>
      <c r="R116" s="31">
        <f t="shared" si="26"/>
        <v>0.3303043332041023</v>
      </c>
      <c r="S116" s="31">
        <f t="shared" si="26"/>
        <v>0.53686982018498408</v>
      </c>
      <c r="T116" s="31">
        <f t="shared" si="26"/>
        <v>0.18775359823030136</v>
      </c>
      <c r="U116" s="31">
        <f t="shared" si="26"/>
        <v>0.58324385954174751</v>
      </c>
      <c r="V116" s="31">
        <f t="shared" si="26"/>
        <v>0.47703998857909641</v>
      </c>
      <c r="W116" s="31">
        <f t="shared" si="26"/>
        <v>0.19477360208553149</v>
      </c>
      <c r="X116" s="31">
        <f t="shared" si="26"/>
        <v>0.34757315096989849</v>
      </c>
      <c r="Y116" s="31">
        <f t="shared" si="26"/>
        <v>0.44475875950406135</v>
      </c>
      <c r="Z116" s="31">
        <f t="shared" si="26"/>
        <v>0.18671894352076365</v>
      </c>
      <c r="AA116" s="31">
        <f t="shared" si="26"/>
        <v>0.33598340870200805</v>
      </c>
      <c r="AB116" s="31">
        <f t="shared" si="26"/>
        <v>6.0552844351303176E-2</v>
      </c>
      <c r="AC116" s="31">
        <f t="shared" si="26"/>
        <v>0.30437874846840868</v>
      </c>
      <c r="AD116" s="31">
        <f t="shared" si="26"/>
        <v>0.17061356383947823</v>
      </c>
      <c r="AE116" s="31">
        <f t="shared" si="26"/>
        <v>0.47131501777136003</v>
      </c>
      <c r="AF116" s="31">
        <f t="shared" si="26"/>
        <v>0.12815226977001254</v>
      </c>
      <c r="AG116" s="31">
        <f t="shared" si="26"/>
        <v>6.3194617739606232E-2</v>
      </c>
      <c r="AH116" s="31">
        <f t="shared" si="25"/>
        <v>0.15733337113494036</v>
      </c>
      <c r="AI116" s="31">
        <f t="shared" si="25"/>
        <v>0.3195818690207336</v>
      </c>
      <c r="AJ116" s="31">
        <f t="shared" si="25"/>
        <v>0.18111556524908773</v>
      </c>
      <c r="AK116" s="31">
        <f t="shared" si="25"/>
        <v>0.46058370517912456</v>
      </c>
      <c r="AL116" s="31">
        <f t="shared" si="25"/>
        <v>0.50896519420403463</v>
      </c>
      <c r="AM116" s="31">
        <f t="shared" si="25"/>
        <v>0.4152994510101643</v>
      </c>
      <c r="AN116" s="31">
        <f t="shared" si="25"/>
        <v>0.22695304782365738</v>
      </c>
      <c r="AO116" s="31">
        <f t="shared" si="25"/>
        <v>0.36726448781382254</v>
      </c>
      <c r="AP116" s="31">
        <f t="shared" si="25"/>
        <v>0.3376711182922188</v>
      </c>
      <c r="AQ116" s="31">
        <f t="shared" si="25"/>
        <v>0.297237484416288</v>
      </c>
      <c r="AR116" s="31">
        <f t="shared" si="25"/>
        <v>0.21654906436280746</v>
      </c>
      <c r="AS116" s="31">
        <f t="shared" si="25"/>
        <v>0.1560743259880602</v>
      </c>
      <c r="AT116" s="31">
        <f t="shared" si="25"/>
        <v>0.12441024590589121</v>
      </c>
      <c r="AU116" s="31">
        <f t="shared" si="25"/>
        <v>0.28327620570470874</v>
      </c>
      <c r="AV116" s="31">
        <f t="shared" si="25"/>
        <v>7.061116533207841E-2</v>
      </c>
      <c r="AW116" s="31">
        <f t="shared" si="25"/>
        <v>0.21676464155514269</v>
      </c>
      <c r="AX116" s="31">
        <f t="shared" si="25"/>
        <v>8.2176533518481421E-2</v>
      </c>
      <c r="AY116" s="31">
        <f t="shared" si="25"/>
        <v>0.1588275724526694</v>
      </c>
      <c r="AZ116" s="31">
        <f t="shared" si="25"/>
        <v>0.21462592636184613</v>
      </c>
      <c r="BA116" s="31">
        <f t="shared" si="25"/>
        <v>0.29150939171945189</v>
      </c>
      <c r="BB116" s="31">
        <f t="shared" si="25"/>
        <v>0.33154716355384939</v>
      </c>
      <c r="BC116" s="31">
        <f t="shared" si="25"/>
        <v>0.3626244332299407</v>
      </c>
      <c r="BD116" s="31">
        <f t="shared" si="25"/>
        <v>0.20241287713950462</v>
      </c>
      <c r="BE116" s="31">
        <f t="shared" si="25"/>
        <v>0.13834219368477285</v>
      </c>
      <c r="BF116" s="31">
        <f t="shared" si="25"/>
        <v>0.16814689573423228</v>
      </c>
      <c r="BG116" s="31">
        <f t="shared" si="25"/>
        <v>7.9749711313026259E-2</v>
      </c>
      <c r="BH116" s="31">
        <f t="shared" si="25"/>
        <v>0.18164612553206683</v>
      </c>
      <c r="BI116" s="31">
        <f t="shared" si="25"/>
        <v>9.0119307119311237E-2</v>
      </c>
      <c r="BJ116" s="31">
        <f t="shared" si="24"/>
        <v>0.14754579741988968</v>
      </c>
      <c r="BK116" s="31">
        <f t="shared" si="24"/>
        <v>0.14655852568022448</v>
      </c>
      <c r="BL116" s="31">
        <f t="shared" si="24"/>
        <v>0.17748025928284805</v>
      </c>
      <c r="BM116" s="31">
        <f t="shared" si="24"/>
        <v>0.18728354361808822</v>
      </c>
      <c r="BN116" s="31">
        <f t="shared" si="24"/>
        <v>0.21384541463505324</v>
      </c>
      <c r="BO116" s="31">
        <f t="shared" si="24"/>
        <v>0.12001281068728363</v>
      </c>
      <c r="BP116" s="1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</row>
    <row r="117" spans="1:100" customFormat="1">
      <c r="A117" s="20" t="s">
        <v>12</v>
      </c>
      <c r="B117" s="21" t="s">
        <v>15</v>
      </c>
      <c r="C117" s="31">
        <f t="shared" si="26"/>
        <v>0.88186710119458411</v>
      </c>
      <c r="D117" s="31">
        <f t="shared" si="26"/>
        <v>0.73086255763885755</v>
      </c>
      <c r="E117" s="31">
        <f t="shared" si="26"/>
        <v>0.74433207461215145</v>
      </c>
      <c r="F117" s="31">
        <f t="shared" si="26"/>
        <v>0.30840933248004909</v>
      </c>
      <c r="G117" s="31">
        <f t="shared" si="26"/>
        <v>0.74484242480916429</v>
      </c>
      <c r="H117" s="31">
        <f t="shared" si="26"/>
        <v>0.68112595814200616</v>
      </c>
      <c r="I117" s="31">
        <f t="shared" si="26"/>
        <v>0.56125070677575073</v>
      </c>
      <c r="J117" s="31">
        <f t="shared" si="26"/>
        <v>0.48148310066355943</v>
      </c>
      <c r="K117" s="31">
        <f t="shared" si="26"/>
        <v>0.49815647862407264</v>
      </c>
      <c r="L117" s="31">
        <f t="shared" si="26"/>
        <v>0.32407712539981431</v>
      </c>
      <c r="M117" s="31">
        <f t="shared" si="26"/>
        <v>0.15488146963473606</v>
      </c>
      <c r="N117" s="31">
        <f t="shared" si="26"/>
        <v>9.6589654076681755E-2</v>
      </c>
      <c r="O117" s="31">
        <f t="shared" si="26"/>
        <v>7.6241802597272104E-2</v>
      </c>
      <c r="P117" s="31">
        <f t="shared" si="26"/>
        <v>0.1992991089417154</v>
      </c>
      <c r="Q117" s="31">
        <f t="shared" si="26"/>
        <v>0.27469301682690206</v>
      </c>
      <c r="R117" s="31">
        <f t="shared" si="26"/>
        <v>0.44212981336997509</v>
      </c>
      <c r="S117" s="31">
        <f t="shared" si="26"/>
        <v>0.63597702529858646</v>
      </c>
      <c r="T117" s="31">
        <f t="shared" si="26"/>
        <v>0.18449057713515882</v>
      </c>
      <c r="U117" s="31">
        <f t="shared" si="26"/>
        <v>0.52147765503120869</v>
      </c>
      <c r="V117" s="31">
        <f t="shared" si="26"/>
        <v>0.81151776343749449</v>
      </c>
      <c r="W117" s="31">
        <f t="shared" si="26"/>
        <v>0.18689980504156423</v>
      </c>
      <c r="X117" s="31">
        <f t="shared" si="26"/>
        <v>0.31698122535947432</v>
      </c>
      <c r="Y117" s="31">
        <f t="shared" si="26"/>
        <v>0.46508420915395837</v>
      </c>
      <c r="Z117" s="31">
        <f t="shared" si="26"/>
        <v>9.6518714684405107E-2</v>
      </c>
      <c r="AA117" s="31">
        <f t="shared" si="26"/>
        <v>0.39329052224513084</v>
      </c>
      <c r="AB117" s="31">
        <f t="shared" si="26"/>
        <v>6.33725546916451E-2</v>
      </c>
      <c r="AC117" s="31">
        <f t="shared" si="26"/>
        <v>0.27679466135260761</v>
      </c>
      <c r="AD117" s="31">
        <f t="shared" si="26"/>
        <v>4.5143343429659928E-2</v>
      </c>
      <c r="AE117" s="31">
        <f t="shared" si="26"/>
        <v>0.37388600874987465</v>
      </c>
      <c r="AF117" s="31">
        <f t="shared" si="26"/>
        <v>4.613228527324735E-2</v>
      </c>
      <c r="AG117" s="31">
        <f t="shared" si="26"/>
        <v>5.5770853372977422E-2</v>
      </c>
      <c r="AH117" s="31">
        <f t="shared" si="25"/>
        <v>0.2130293587334931</v>
      </c>
      <c r="AI117" s="31">
        <f t="shared" si="25"/>
        <v>0.34657976280070374</v>
      </c>
      <c r="AJ117" s="31">
        <f t="shared" si="25"/>
        <v>9.705886645905086E-2</v>
      </c>
      <c r="AK117" s="31">
        <f t="shared" si="25"/>
        <v>0.45357114301509105</v>
      </c>
      <c r="AL117" s="31">
        <f t="shared" si="25"/>
        <v>0.35307801447887821</v>
      </c>
      <c r="AM117" s="31">
        <f t="shared" si="25"/>
        <v>0.35141121882752224</v>
      </c>
      <c r="AN117" s="31">
        <f t="shared" si="25"/>
        <v>0.15943211777011437</v>
      </c>
      <c r="AO117" s="31">
        <f t="shared" si="25"/>
        <v>0.43980372060920425</v>
      </c>
      <c r="AP117" s="31">
        <f t="shared" si="25"/>
        <v>0.67536582980316684</v>
      </c>
      <c r="AQ117" s="31">
        <f t="shared" si="25"/>
        <v>0.36331018431477785</v>
      </c>
      <c r="AR117" s="31">
        <f t="shared" si="25"/>
        <v>0.29386246032157642</v>
      </c>
      <c r="AS117" s="31">
        <f t="shared" si="25"/>
        <v>0.19431536682429415</v>
      </c>
      <c r="AT117" s="31">
        <f t="shared" si="25"/>
        <v>0.19389303533497459</v>
      </c>
      <c r="AU117" s="31">
        <f t="shared" si="25"/>
        <v>0.36958558855619439</v>
      </c>
      <c r="AV117" s="31">
        <f t="shared" si="25"/>
        <v>8.1042693439342936E-2</v>
      </c>
      <c r="AW117" s="31">
        <f t="shared" si="25"/>
        <v>0.18172798841310417</v>
      </c>
      <c r="AX117" s="31">
        <f t="shared" si="25"/>
        <v>0.16159366435967668</v>
      </c>
      <c r="AY117" s="31">
        <f t="shared" si="25"/>
        <v>0.20239019023708085</v>
      </c>
      <c r="AZ117" s="31">
        <f t="shared" si="25"/>
        <v>0.26397484592074044</v>
      </c>
      <c r="BA117" s="31">
        <f t="shared" si="25"/>
        <v>0.26546431426010059</v>
      </c>
      <c r="BB117" s="31">
        <f t="shared" si="25"/>
        <v>0.43597559891035526</v>
      </c>
      <c r="BC117" s="31">
        <f t="shared" si="25"/>
        <v>0.37282100421622238</v>
      </c>
      <c r="BD117" s="31">
        <f t="shared" si="25"/>
        <v>0.187171127001897</v>
      </c>
      <c r="BE117" s="31">
        <f t="shared" si="25"/>
        <v>0.18414753920689339</v>
      </c>
      <c r="BF117" s="31">
        <f t="shared" si="25"/>
        <v>0.19378793425075722</v>
      </c>
      <c r="BG117" s="31">
        <f t="shared" si="25"/>
        <v>6.2784439902154529E-2</v>
      </c>
      <c r="BH117" s="31">
        <f t="shared" si="25"/>
        <v>0.21017993090736797</v>
      </c>
      <c r="BI117" s="31">
        <f t="shared" si="25"/>
        <v>0.10103705909419891</v>
      </c>
      <c r="BJ117" s="31">
        <f t="shared" si="24"/>
        <v>0.16001255740760004</v>
      </c>
      <c r="BK117" s="31">
        <f t="shared" si="24"/>
        <v>0.16545690031278706</v>
      </c>
      <c r="BL117" s="31">
        <f t="shared" si="24"/>
        <v>0.19949722621254787</v>
      </c>
      <c r="BM117" s="31">
        <f t="shared" si="24"/>
        <v>0.19655966265170896</v>
      </c>
      <c r="BN117" s="31">
        <f t="shared" si="24"/>
        <v>0.16828055382585905</v>
      </c>
      <c r="BO117" s="31">
        <f t="shared" si="24"/>
        <v>6.8629541146394732E-2</v>
      </c>
      <c r="BP117" s="1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</row>
    <row r="118" spans="1:100" customFormat="1">
      <c r="A118" s="20" t="s">
        <v>12</v>
      </c>
      <c r="B118" s="21" t="s">
        <v>16</v>
      </c>
      <c r="C118" s="31">
        <f t="shared" si="26"/>
        <v>0.81766688560112755</v>
      </c>
      <c r="D118" s="31">
        <f t="shared" si="26"/>
        <v>0.68529520664977228</v>
      </c>
      <c r="E118" s="31">
        <f t="shared" si="26"/>
        <v>0.60524492004584973</v>
      </c>
      <c r="F118" s="31">
        <f t="shared" si="26"/>
        <v>0.36748283900348072</v>
      </c>
      <c r="G118" s="31">
        <f t="shared" si="26"/>
        <v>0.55020815466089235</v>
      </c>
      <c r="H118" s="31">
        <f t="shared" si="26"/>
        <v>0.62881645689094268</v>
      </c>
      <c r="I118" s="31">
        <f t="shared" si="26"/>
        <v>0.68395664444134385</v>
      </c>
      <c r="J118" s="31">
        <f t="shared" si="26"/>
        <v>0.40583424352666431</v>
      </c>
      <c r="K118" s="31">
        <f t="shared" si="26"/>
        <v>0.18724592624973005</v>
      </c>
      <c r="L118" s="31">
        <f t="shared" si="26"/>
        <v>0.34972724467934518</v>
      </c>
      <c r="M118" s="31">
        <f t="shared" si="26"/>
        <v>0.16372287005920824</v>
      </c>
      <c r="N118" s="31">
        <f t="shared" si="26"/>
        <v>0.10817596110760849</v>
      </c>
      <c r="O118" s="31">
        <f t="shared" si="26"/>
        <v>7.3586893614827939E-2</v>
      </c>
      <c r="P118" s="31">
        <f t="shared" si="26"/>
        <v>0.2025436084431049</v>
      </c>
      <c r="Q118" s="31">
        <f t="shared" si="26"/>
        <v>0.31016707826247791</v>
      </c>
      <c r="R118" s="31">
        <f t="shared" si="26"/>
        <v>0.43303164746670342</v>
      </c>
      <c r="S118" s="31">
        <f t="shared" si="26"/>
        <v>0.51819985206792396</v>
      </c>
      <c r="T118" s="31">
        <f t="shared" si="26"/>
        <v>0.22138877989871733</v>
      </c>
      <c r="U118" s="31">
        <f t="shared" si="26"/>
        <v>0.65655839283778294</v>
      </c>
      <c r="V118" s="31">
        <f t="shared" si="26"/>
        <v>0.65341727543788686</v>
      </c>
      <c r="W118" s="31">
        <f t="shared" si="26"/>
        <v>0.36596145021538534</v>
      </c>
      <c r="X118" s="31">
        <f t="shared" si="26"/>
        <v>0.50128169320731619</v>
      </c>
      <c r="Y118" s="31">
        <f t="shared" si="26"/>
        <v>0.55375502126123688</v>
      </c>
      <c r="Z118" s="31">
        <f t="shared" si="26"/>
        <v>0.12318864104960491</v>
      </c>
      <c r="AA118" s="31">
        <f t="shared" si="26"/>
        <v>0.48242133066227616</v>
      </c>
      <c r="AB118" s="31">
        <f t="shared" si="26"/>
        <v>0.12793889874360842</v>
      </c>
      <c r="AC118" s="31">
        <f t="shared" si="26"/>
        <v>0.36305954426415959</v>
      </c>
      <c r="AD118" s="31">
        <f t="shared" si="26"/>
        <v>0.13048142016711131</v>
      </c>
      <c r="AE118" s="31">
        <f t="shared" si="26"/>
        <v>0.58490292150364664</v>
      </c>
      <c r="AF118" s="31">
        <f t="shared" si="26"/>
        <v>0.18930967506720439</v>
      </c>
      <c r="AG118" s="31">
        <f t="shared" si="26"/>
        <v>0.17907348014666932</v>
      </c>
      <c r="AH118" s="31">
        <f t="shared" si="25"/>
        <v>0.37705781475937478</v>
      </c>
      <c r="AI118" s="31">
        <f t="shared" si="25"/>
        <v>0.47355127916681383</v>
      </c>
      <c r="AJ118" s="31">
        <f t="shared" si="25"/>
        <v>0.35458050668495988</v>
      </c>
      <c r="AK118" s="31">
        <f t="shared" si="25"/>
        <v>0.60024396918125722</v>
      </c>
      <c r="AL118" s="31">
        <f t="shared" si="25"/>
        <v>0.49803362792454409</v>
      </c>
      <c r="AM118" s="31">
        <f t="shared" si="25"/>
        <v>0.46800518359753218</v>
      </c>
      <c r="AN118" s="31">
        <f t="shared" si="25"/>
        <v>0.35501983864829623</v>
      </c>
      <c r="AO118" s="31">
        <f t="shared" si="25"/>
        <v>0.56731129904616617</v>
      </c>
      <c r="AP118" s="31">
        <f t="shared" si="25"/>
        <v>0.48923874652161015</v>
      </c>
      <c r="AQ118" s="31">
        <f t="shared" si="25"/>
        <v>0.52698852015302777</v>
      </c>
      <c r="AR118" s="31">
        <f t="shared" si="25"/>
        <v>0.30425170585702294</v>
      </c>
      <c r="AS118" s="31">
        <f t="shared" si="25"/>
        <v>0.17623652053684907</v>
      </c>
      <c r="AT118" s="31">
        <f t="shared" si="25"/>
        <v>0.17232166155356632</v>
      </c>
      <c r="AU118" s="31">
        <f t="shared" si="25"/>
        <v>0.54214326224301801</v>
      </c>
      <c r="AV118" s="31">
        <f t="shared" si="25"/>
        <v>0.12850538620333207</v>
      </c>
      <c r="AW118" s="31">
        <f t="shared" si="25"/>
        <v>0.21099945955807617</v>
      </c>
      <c r="AX118" s="31">
        <f t="shared" si="25"/>
        <v>0.13801986440157488</v>
      </c>
      <c r="AY118" s="31">
        <f t="shared" si="25"/>
        <v>0.298574021600294</v>
      </c>
      <c r="AZ118" s="31">
        <f t="shared" si="25"/>
        <v>0.30754243261410308</v>
      </c>
      <c r="BA118" s="31">
        <f t="shared" si="25"/>
        <v>0.35398097483327928</v>
      </c>
      <c r="BB118" s="31">
        <f t="shared" si="25"/>
        <v>0.4483470798224462</v>
      </c>
      <c r="BC118" s="31">
        <f t="shared" si="25"/>
        <v>0.40728911819940189</v>
      </c>
      <c r="BD118" s="31">
        <f t="shared" si="25"/>
        <v>0.26267142751274702</v>
      </c>
      <c r="BE118" s="31">
        <f t="shared" si="25"/>
        <v>0.20237154263758672</v>
      </c>
      <c r="BF118" s="31">
        <f t="shared" si="25"/>
        <v>0.2792789528669154</v>
      </c>
      <c r="BG118" s="31">
        <f t="shared" si="25"/>
        <v>6.5193666391882441E-2</v>
      </c>
      <c r="BH118" s="31">
        <f t="shared" si="25"/>
        <v>0.38031042287610473</v>
      </c>
      <c r="BI118" s="31">
        <f t="shared" si="25"/>
        <v>0.13440884365802455</v>
      </c>
      <c r="BJ118" s="31">
        <f t="shared" si="24"/>
        <v>0.23259989963926758</v>
      </c>
      <c r="BK118" s="31">
        <f t="shared" si="24"/>
        <v>0.1926544097568797</v>
      </c>
      <c r="BL118" s="31">
        <f t="shared" si="24"/>
        <v>0.32705291611290965</v>
      </c>
      <c r="BM118" s="31">
        <f t="shared" si="24"/>
        <v>0.51831190905665447</v>
      </c>
      <c r="BN118" s="31">
        <f t="shared" si="24"/>
        <v>0.49259432349174387</v>
      </c>
      <c r="BO118" s="31">
        <f t="shared" si="24"/>
        <v>0.33561161031029718</v>
      </c>
      <c r="BP118" s="1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</row>
    <row r="119" spans="1:100" customFormat="1">
      <c r="A119" s="20" t="s">
        <v>12</v>
      </c>
      <c r="B119" s="21" t="s">
        <v>17</v>
      </c>
      <c r="C119" s="31">
        <f t="shared" si="26"/>
        <v>0.77652565523920136</v>
      </c>
      <c r="D119" s="31">
        <f t="shared" si="26"/>
        <v>0.60827331724551958</v>
      </c>
      <c r="E119" s="31">
        <f t="shared" si="26"/>
        <v>0.63748343000916474</v>
      </c>
      <c r="F119" s="31">
        <f t="shared" si="26"/>
        <v>0.53443055870185308</v>
      </c>
      <c r="G119" s="31">
        <f t="shared" si="26"/>
        <v>0.61851231149179642</v>
      </c>
      <c r="H119" s="31">
        <f t="shared" si="26"/>
        <v>0.60030333449275575</v>
      </c>
      <c r="I119" s="31">
        <f t="shared" si="26"/>
        <v>0.71333861491920803</v>
      </c>
      <c r="J119" s="31">
        <f t="shared" si="26"/>
        <v>0.51837187322492773</v>
      </c>
      <c r="K119" s="31">
        <f t="shared" si="26"/>
        <v>0.40863737367444053</v>
      </c>
      <c r="L119" s="31">
        <f t="shared" si="26"/>
        <v>0.50896100487247853</v>
      </c>
      <c r="M119" s="31">
        <f t="shared" si="26"/>
        <v>0.22776893356824368</v>
      </c>
      <c r="N119" s="31">
        <f t="shared" si="26"/>
        <v>0.12760636138765399</v>
      </c>
      <c r="O119" s="31">
        <f t="shared" si="26"/>
        <v>8.9726175607972317E-2</v>
      </c>
      <c r="P119" s="31">
        <f t="shared" si="26"/>
        <v>0.2256074086944618</v>
      </c>
      <c r="Q119" s="31">
        <f t="shared" si="26"/>
        <v>0.38465806979555089</v>
      </c>
      <c r="R119" s="31">
        <f t="shared" si="26"/>
        <v>0.41809340868100231</v>
      </c>
      <c r="S119" s="31">
        <f t="shared" si="26"/>
        <v>0.47620437951785982</v>
      </c>
      <c r="T119" s="31">
        <f t="shared" si="26"/>
        <v>0.21951271431797023</v>
      </c>
      <c r="U119" s="31">
        <f t="shared" si="26"/>
        <v>0.60631848649878062</v>
      </c>
      <c r="V119" s="31">
        <f t="shared" si="26"/>
        <v>0.67097539465912892</v>
      </c>
      <c r="W119" s="31">
        <f t="shared" si="26"/>
        <v>0.2753444540680311</v>
      </c>
      <c r="X119" s="31">
        <f t="shared" si="26"/>
        <v>0.4113693722309944</v>
      </c>
      <c r="Y119" s="31">
        <f t="shared" si="26"/>
        <v>0.56887073294678903</v>
      </c>
      <c r="Z119" s="31">
        <f t="shared" si="26"/>
        <v>0.13117315206882366</v>
      </c>
      <c r="AA119" s="31">
        <f t="shared" si="26"/>
        <v>0.46078886829194388</v>
      </c>
      <c r="AB119" s="31">
        <f t="shared" si="26"/>
        <v>0.11823658103059988</v>
      </c>
      <c r="AC119" s="31">
        <f t="shared" si="26"/>
        <v>0.33999286985797839</v>
      </c>
      <c r="AD119" s="31">
        <f t="shared" si="26"/>
        <v>9.9830932456899862E-2</v>
      </c>
      <c r="AE119" s="31">
        <f t="shared" si="26"/>
        <v>0.51100915362547472</v>
      </c>
      <c r="AF119" s="31">
        <f t="shared" si="26"/>
        <v>0.16556549384063918</v>
      </c>
      <c r="AG119" s="31">
        <f t="shared" ref="AG119" si="27">AG80/AG99</f>
        <v>0.14534165508430147</v>
      </c>
      <c r="AH119" s="31">
        <f t="shared" si="25"/>
        <v>0.37386984363389986</v>
      </c>
      <c r="AI119" s="31">
        <f t="shared" si="25"/>
        <v>0.46696511410175895</v>
      </c>
      <c r="AJ119" s="31">
        <f t="shared" si="25"/>
        <v>0.30004125489192845</v>
      </c>
      <c r="AK119" s="31">
        <f t="shared" si="25"/>
        <v>0.63371985337760905</v>
      </c>
      <c r="AL119" s="31">
        <f t="shared" si="25"/>
        <v>0.49598442943223753</v>
      </c>
      <c r="AM119" s="31">
        <f t="shared" si="25"/>
        <v>0.58000318387565653</v>
      </c>
      <c r="AN119" s="31">
        <f t="shared" si="25"/>
        <v>0.57699815472388072</v>
      </c>
      <c r="AO119" s="31">
        <f t="shared" si="25"/>
        <v>0.70523881184480885</v>
      </c>
      <c r="AP119" s="31">
        <f t="shared" si="25"/>
        <v>0.61980047997018106</v>
      </c>
      <c r="AQ119" s="31">
        <f t="shared" si="25"/>
        <v>0.52081782355917905</v>
      </c>
      <c r="AR119" s="31">
        <f t="shared" ref="AR119:BI119" si="28">AR80/AR99</f>
        <v>0.32197529463473523</v>
      </c>
      <c r="AS119" s="31">
        <f t="shared" si="28"/>
        <v>0.22536914444458639</v>
      </c>
      <c r="AT119" s="31">
        <f t="shared" si="28"/>
        <v>0.18088455889641541</v>
      </c>
      <c r="AU119" s="31">
        <f t="shared" si="28"/>
        <v>0.51632439935658714</v>
      </c>
      <c r="AV119" s="31">
        <f t="shared" si="28"/>
        <v>0.22495628501888087</v>
      </c>
      <c r="AW119" s="31">
        <f t="shared" si="28"/>
        <v>0.20403890585337595</v>
      </c>
      <c r="AX119" s="31">
        <f t="shared" si="28"/>
        <v>0.24723130763990969</v>
      </c>
      <c r="AY119" s="31">
        <f t="shared" si="28"/>
        <v>0.66366512069644701</v>
      </c>
      <c r="AZ119" s="31">
        <f t="shared" si="28"/>
        <v>0.35464131955605754</v>
      </c>
      <c r="BA119" s="31">
        <f t="shared" si="28"/>
        <v>0.39793606004711735</v>
      </c>
      <c r="BB119" s="31">
        <f t="shared" si="28"/>
        <v>0.44190025272956213</v>
      </c>
      <c r="BC119" s="31">
        <f t="shared" si="28"/>
        <v>0.39658842649677511</v>
      </c>
      <c r="BD119" s="31">
        <f t="shared" si="28"/>
        <v>0.25935687996672058</v>
      </c>
      <c r="BE119" s="31">
        <f t="shared" si="28"/>
        <v>0.19980270735670871</v>
      </c>
      <c r="BF119" s="31">
        <f t="shared" si="28"/>
        <v>0.24822620092804784</v>
      </c>
      <c r="BG119" s="31">
        <f t="shared" si="28"/>
        <v>6.7034907308894276E-2</v>
      </c>
      <c r="BH119" s="31">
        <f t="shared" si="28"/>
        <v>0.34042578125866813</v>
      </c>
      <c r="BI119" s="31">
        <f t="shared" si="28"/>
        <v>0.38244699486547412</v>
      </c>
      <c r="BJ119" s="31">
        <f t="shared" si="24"/>
        <v>0.22835960797940225</v>
      </c>
      <c r="BK119" s="31">
        <f t="shared" si="24"/>
        <v>0.28053092170088134</v>
      </c>
      <c r="BL119" s="31">
        <f t="shared" si="24"/>
        <v>0.63702291006959522</v>
      </c>
      <c r="BM119" s="31">
        <f t="shared" si="24"/>
        <v>0.61757386223388056</v>
      </c>
      <c r="BN119" s="31">
        <f t="shared" si="24"/>
        <v>0.53781358167501636</v>
      </c>
      <c r="BO119" s="31">
        <f t="shared" si="24"/>
        <v>0.20724466155604382</v>
      </c>
      <c r="BP119" s="1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</row>
    <row r="120" spans="1:100" customFormat="1">
      <c r="A120" s="20" t="s">
        <v>12</v>
      </c>
      <c r="B120" s="21" t="s">
        <v>18</v>
      </c>
      <c r="C120" s="31">
        <f t="shared" ref="C120:BI123" si="29">C81/C100</f>
        <v>0.77351845973103406</v>
      </c>
      <c r="D120" s="31">
        <f t="shared" si="29"/>
        <v>0.6035269304028269</v>
      </c>
      <c r="E120" s="31">
        <f t="shared" si="29"/>
        <v>0.63352933670077383</v>
      </c>
      <c r="F120" s="31">
        <f t="shared" si="29"/>
        <v>0.52073406454702109</v>
      </c>
      <c r="G120" s="31">
        <f t="shared" si="29"/>
        <v>0.62529955386839287</v>
      </c>
      <c r="H120" s="31">
        <f t="shared" si="29"/>
        <v>0.59322708842737892</v>
      </c>
      <c r="I120" s="31">
        <f t="shared" si="29"/>
        <v>0.70643374702203421</v>
      </c>
      <c r="J120" s="31">
        <f t="shared" si="29"/>
        <v>0.50724872772035945</v>
      </c>
      <c r="K120" s="31">
        <f t="shared" si="29"/>
        <v>0.39192591447333369</v>
      </c>
      <c r="L120" s="31">
        <f t="shared" si="29"/>
        <v>0.49819055966941239</v>
      </c>
      <c r="M120" s="31">
        <f t="shared" si="29"/>
        <v>0.21831265766270846</v>
      </c>
      <c r="N120" s="31">
        <f t="shared" si="29"/>
        <v>0.1230603694029067</v>
      </c>
      <c r="O120" s="31">
        <f t="shared" si="29"/>
        <v>8.6297978161411978E-2</v>
      </c>
      <c r="P120" s="31">
        <f t="shared" si="29"/>
        <v>0.22236303464631313</v>
      </c>
      <c r="Q120" s="31">
        <f t="shared" si="29"/>
        <v>0.38328492692586208</v>
      </c>
      <c r="R120" s="31">
        <f t="shared" si="29"/>
        <v>0.42880345403758097</v>
      </c>
      <c r="S120" s="31">
        <f t="shared" si="29"/>
        <v>0.47442472421928689</v>
      </c>
      <c r="T120" s="31">
        <f t="shared" si="29"/>
        <v>0.22438355441492214</v>
      </c>
      <c r="U120" s="31">
        <f t="shared" si="29"/>
        <v>0.60084410419716916</v>
      </c>
      <c r="V120" s="31">
        <f t="shared" si="29"/>
        <v>0.67249115401261306</v>
      </c>
      <c r="W120" s="31">
        <f t="shared" si="29"/>
        <v>0.28405554459470772</v>
      </c>
      <c r="X120" s="31">
        <f t="shared" si="29"/>
        <v>0.43179949233974546</v>
      </c>
      <c r="Y120" s="31">
        <f t="shared" si="29"/>
        <v>0.56990356488275595</v>
      </c>
      <c r="Z120" s="31">
        <f t="shared" si="29"/>
        <v>0.13457453284249868</v>
      </c>
      <c r="AA120" s="31">
        <f t="shared" si="29"/>
        <v>0.45928514512982649</v>
      </c>
      <c r="AB120" s="31">
        <f t="shared" si="29"/>
        <v>0.15493322080355412</v>
      </c>
      <c r="AC120" s="31">
        <f t="shared" si="29"/>
        <v>0.34764601603035927</v>
      </c>
      <c r="AD120" s="31">
        <f t="shared" si="29"/>
        <v>9.8431106744299265E-2</v>
      </c>
      <c r="AE120" s="31">
        <f t="shared" si="29"/>
        <v>0.61708692217588113</v>
      </c>
      <c r="AF120" s="31">
        <f t="shared" si="29"/>
        <v>0.28363895220091434</v>
      </c>
      <c r="AG120" s="31">
        <f t="shared" si="29"/>
        <v>0.17652560100667286</v>
      </c>
      <c r="AH120" s="31">
        <f t="shared" si="29"/>
        <v>0.55460368928264292</v>
      </c>
      <c r="AI120" s="31">
        <f t="shared" si="29"/>
        <v>0.49930687324284684</v>
      </c>
      <c r="AJ120" s="31">
        <f t="shared" si="29"/>
        <v>0.35422094625586958</v>
      </c>
      <c r="AK120" s="31">
        <f t="shared" si="29"/>
        <v>0.63687645845695318</v>
      </c>
      <c r="AL120" s="31">
        <f t="shared" si="29"/>
        <v>0.63446722100497333</v>
      </c>
      <c r="AM120" s="31">
        <f t="shared" si="29"/>
        <v>0.84817978465210309</v>
      </c>
      <c r="AN120" s="31">
        <f t="shared" si="29"/>
        <v>0.72460483720491142</v>
      </c>
      <c r="AO120" s="31">
        <f t="shared" si="29"/>
        <v>0.89607827431366927</v>
      </c>
      <c r="AP120" s="31">
        <f t="shared" si="29"/>
        <v>0.72599558497598993</v>
      </c>
      <c r="AQ120" s="31">
        <f t="shared" si="29"/>
        <v>0.79019947870230312</v>
      </c>
      <c r="AR120" s="31">
        <f t="shared" si="29"/>
        <v>0.4678704799673386</v>
      </c>
      <c r="AS120" s="31">
        <f t="shared" si="29"/>
        <v>0.32160073797653282</v>
      </c>
      <c r="AT120" s="31">
        <f t="shared" si="29"/>
        <v>0.19859157709523165</v>
      </c>
      <c r="AU120" s="31">
        <f t="shared" si="29"/>
        <v>0.64338367126657325</v>
      </c>
      <c r="AV120" s="31">
        <f t="shared" si="29"/>
        <v>0.62101417338123732</v>
      </c>
      <c r="AW120" s="31">
        <f t="shared" si="29"/>
        <v>0.20403890585337595</v>
      </c>
      <c r="AX120" s="31">
        <f t="shared" si="29"/>
        <v>0.57115082982031229</v>
      </c>
      <c r="AY120" s="31">
        <f t="shared" si="29"/>
        <v>0.76727159415695423</v>
      </c>
      <c r="AZ120" s="31">
        <f t="shared" si="29"/>
        <v>0.35215929502506887</v>
      </c>
      <c r="BA120" s="31">
        <f t="shared" si="29"/>
        <v>0.39373058900972185</v>
      </c>
      <c r="BB120" s="31">
        <f t="shared" si="29"/>
        <v>0.44369020176508672</v>
      </c>
      <c r="BC120" s="31">
        <f t="shared" si="29"/>
        <v>0.40152727181976267</v>
      </c>
      <c r="BD120" s="31">
        <f t="shared" si="29"/>
        <v>0.27080374921470624</v>
      </c>
      <c r="BE120" s="31">
        <f t="shared" si="29"/>
        <v>0.22959096072595228</v>
      </c>
      <c r="BF120" s="31">
        <f t="shared" si="29"/>
        <v>0.28328404848820832</v>
      </c>
      <c r="BG120" s="31">
        <f t="shared" si="29"/>
        <v>6.6822072815353545E-2</v>
      </c>
      <c r="BH120" s="31">
        <f t="shared" si="29"/>
        <v>0.35561685923094721</v>
      </c>
      <c r="BI120" s="31">
        <f t="shared" si="29"/>
        <v>0.36548780876799736</v>
      </c>
      <c r="BJ120" s="31">
        <f t="shared" si="24"/>
        <v>0.23065752980529436</v>
      </c>
      <c r="BK120" s="31">
        <f t="shared" si="24"/>
        <v>0.27284193054526834</v>
      </c>
      <c r="BL120" s="31">
        <f t="shared" si="24"/>
        <v>0.61972547590591742</v>
      </c>
      <c r="BM120" s="31">
        <f t="shared" si="24"/>
        <v>0.60234532884318992</v>
      </c>
      <c r="BN120" s="31">
        <f t="shared" si="24"/>
        <v>0.52357398325346238</v>
      </c>
      <c r="BO120" s="31">
        <f t="shared" si="24"/>
        <v>0.23296827551429486</v>
      </c>
      <c r="BP120" s="1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</row>
    <row r="121" spans="1:100" customFormat="1">
      <c r="A121" s="20" t="s">
        <v>12</v>
      </c>
      <c r="B121" s="21" t="s">
        <v>19</v>
      </c>
      <c r="C121" s="31">
        <f t="shared" si="29"/>
        <v>0.7120001895564988</v>
      </c>
      <c r="D121" s="31">
        <f t="shared" si="29"/>
        <v>0.56553743440178283</v>
      </c>
      <c r="E121" s="31">
        <f t="shared" si="29"/>
        <v>0.53693733670950061</v>
      </c>
      <c r="F121" s="31">
        <f t="shared" si="29"/>
        <v>0.30148562262742035</v>
      </c>
      <c r="G121" s="31">
        <f t="shared" si="29"/>
        <v>0.46622633278968811</v>
      </c>
      <c r="H121" s="31">
        <f t="shared" si="29"/>
        <v>0.50439335293240073</v>
      </c>
      <c r="I121" s="31">
        <f t="shared" si="29"/>
        <v>0.57956425916826526</v>
      </c>
      <c r="J121" s="31">
        <f t="shared" si="29"/>
        <v>0.35933248621682645</v>
      </c>
      <c r="K121" s="31">
        <f t="shared" si="29"/>
        <v>0.1949426761913105</v>
      </c>
      <c r="L121" s="31">
        <f t="shared" si="29"/>
        <v>0.34959154972467743</v>
      </c>
      <c r="M121" s="31">
        <f t="shared" si="29"/>
        <v>0.19481643596088125</v>
      </c>
      <c r="N121" s="31">
        <f t="shared" si="29"/>
        <v>0.14057036607953702</v>
      </c>
      <c r="O121" s="31">
        <f t="shared" si="29"/>
        <v>9.4625858826906092E-2</v>
      </c>
      <c r="P121" s="31">
        <f t="shared" si="29"/>
        <v>0.19818409392327416</v>
      </c>
      <c r="Q121" s="31">
        <f t="shared" si="29"/>
        <v>0.30572049383026584</v>
      </c>
      <c r="R121" s="31">
        <f t="shared" si="29"/>
        <v>0.38162798663071612</v>
      </c>
      <c r="S121" s="31">
        <f t="shared" si="29"/>
        <v>0.43559625174058042</v>
      </c>
      <c r="T121" s="31">
        <f t="shared" si="29"/>
        <v>0.2093414938327598</v>
      </c>
      <c r="U121" s="31">
        <f t="shared" si="29"/>
        <v>0.555921987760428</v>
      </c>
      <c r="V121" s="31">
        <f t="shared" si="29"/>
        <v>0.59253773947174782</v>
      </c>
      <c r="W121" s="31">
        <f t="shared" si="29"/>
        <v>0.3055838014852239</v>
      </c>
      <c r="X121" s="31">
        <f t="shared" si="29"/>
        <v>0.42759074418742077</v>
      </c>
      <c r="Y121" s="31">
        <f t="shared" si="29"/>
        <v>0.53753323886028892</v>
      </c>
      <c r="Z121" s="31">
        <f t="shared" si="29"/>
        <v>0.12284524763290086</v>
      </c>
      <c r="AA121" s="31">
        <f t="shared" si="29"/>
        <v>0.46648180019826285</v>
      </c>
      <c r="AB121" s="31">
        <f t="shared" si="29"/>
        <v>0.10030975420109073</v>
      </c>
      <c r="AC121" s="31">
        <f t="shared" si="29"/>
        <v>0.34964286020531421</v>
      </c>
      <c r="AD121" s="31">
        <f t="shared" si="29"/>
        <v>9.2011699052280252E-2</v>
      </c>
      <c r="AE121" s="31">
        <f t="shared" si="29"/>
        <v>0.49916246041702589</v>
      </c>
      <c r="AF121" s="31">
        <f t="shared" si="29"/>
        <v>0.13828030958555451</v>
      </c>
      <c r="AG121" s="31">
        <f t="shared" si="29"/>
        <v>0.13645194544337222</v>
      </c>
      <c r="AH121" s="31">
        <f t="shared" si="29"/>
        <v>0.43022535998990025</v>
      </c>
      <c r="AI121" s="31">
        <f t="shared" si="29"/>
        <v>0.44926688402681186</v>
      </c>
      <c r="AJ121" s="31">
        <f t="shared" si="29"/>
        <v>0.29581376147491256</v>
      </c>
      <c r="AK121" s="31">
        <f t="shared" si="29"/>
        <v>0.59114999673360868</v>
      </c>
      <c r="AL121" s="31">
        <f t="shared" si="29"/>
        <v>0.48031028700466044</v>
      </c>
      <c r="AM121" s="31">
        <f t="shared" si="29"/>
        <v>0.49505215552172283</v>
      </c>
      <c r="AN121" s="31">
        <f t="shared" si="29"/>
        <v>0.3805731004312326</v>
      </c>
      <c r="AO121" s="31">
        <f t="shared" si="29"/>
        <v>0.59132418206018866</v>
      </c>
      <c r="AP121" s="31">
        <f t="shared" si="29"/>
        <v>0.47396125820064877</v>
      </c>
      <c r="AQ121" s="31">
        <f t="shared" si="29"/>
        <v>0.51637356864626804</v>
      </c>
      <c r="AR121" s="31">
        <f t="shared" si="29"/>
        <v>0.32754389869829775</v>
      </c>
      <c r="AS121" s="31">
        <f t="shared" si="29"/>
        <v>0.21686198958799249</v>
      </c>
      <c r="AT121" s="31">
        <f t="shared" si="29"/>
        <v>0.24743920764487981</v>
      </c>
      <c r="AU121" s="31">
        <f t="shared" si="29"/>
        <v>0.52579394407191882</v>
      </c>
      <c r="AV121" s="31">
        <f t="shared" si="29"/>
        <v>0.2327974259735332</v>
      </c>
      <c r="AW121" s="31">
        <f t="shared" si="29"/>
        <v>0.18871535910680909</v>
      </c>
      <c r="AX121" s="31">
        <f t="shared" si="29"/>
        <v>0.18659722879096016</v>
      </c>
      <c r="AY121" s="31">
        <f t="shared" si="29"/>
        <v>0.35941634549346424</v>
      </c>
      <c r="AZ121" s="31">
        <f t="shared" si="29"/>
        <v>0.29142182141380424</v>
      </c>
      <c r="BA121" s="31">
        <f t="shared" si="29"/>
        <v>0.31151292369071476</v>
      </c>
      <c r="BB121" s="31">
        <f t="shared" si="29"/>
        <v>0.43737141205709529</v>
      </c>
      <c r="BC121" s="31">
        <f t="shared" si="29"/>
        <v>0.42332952358485809</v>
      </c>
      <c r="BD121" s="31">
        <f t="shared" si="29"/>
        <v>0.23466610409762087</v>
      </c>
      <c r="BE121" s="31">
        <f t="shared" si="29"/>
        <v>0.18445911558986061</v>
      </c>
      <c r="BF121" s="31">
        <f t="shared" si="29"/>
        <v>0.22907226773422204</v>
      </c>
      <c r="BG121" s="31">
        <f t="shared" si="29"/>
        <v>6.3284058573967253E-2</v>
      </c>
      <c r="BH121" s="31">
        <f t="shared" si="29"/>
        <v>0.33394174615039462</v>
      </c>
      <c r="BI121" s="31">
        <f t="shared" si="29"/>
        <v>0.14855937942869332</v>
      </c>
      <c r="BJ121" s="31">
        <f t="shared" si="24"/>
        <v>0.19567329417872933</v>
      </c>
      <c r="BK121" s="31">
        <f t="shared" si="24"/>
        <v>0.19656955691247502</v>
      </c>
      <c r="BL121" s="31">
        <f t="shared" si="24"/>
        <v>0.32102060457941678</v>
      </c>
      <c r="BM121" s="31">
        <f t="shared" si="24"/>
        <v>0.41912371880733695</v>
      </c>
      <c r="BN121" s="31">
        <f t="shared" si="24"/>
        <v>0.36861697289496431</v>
      </c>
      <c r="BO121" s="31">
        <f t="shared" si="24"/>
        <v>0.21279518653159024</v>
      </c>
      <c r="BP121" s="1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</row>
    <row r="122" spans="1:100" customFormat="1">
      <c r="A122" s="20" t="s">
        <v>20</v>
      </c>
      <c r="B122" s="21" t="s">
        <v>21</v>
      </c>
      <c r="C122" s="31">
        <f t="shared" si="29"/>
        <v>0.77182836367204177</v>
      </c>
      <c r="D122" s="31">
        <f t="shared" si="29"/>
        <v>0.67585186186007684</v>
      </c>
      <c r="E122" s="31">
        <f t="shared" si="29"/>
        <v>0.64993670515231883</v>
      </c>
      <c r="F122" s="31">
        <f t="shared" si="29"/>
        <v>0.2965698230618799</v>
      </c>
      <c r="G122" s="31">
        <f t="shared" si="29"/>
        <v>0.39752727389193121</v>
      </c>
      <c r="H122" s="31">
        <f t="shared" si="29"/>
        <v>0.40010957449700074</v>
      </c>
      <c r="I122" s="31">
        <f t="shared" si="29"/>
        <v>0.49483619666648265</v>
      </c>
      <c r="J122" s="31">
        <f t="shared" si="29"/>
        <v>0.4227517209870636</v>
      </c>
      <c r="K122" s="31">
        <f t="shared" si="29"/>
        <v>0.21330644986368452</v>
      </c>
      <c r="L122" s="31">
        <f t="shared" si="29"/>
        <v>0.37158072051645352</v>
      </c>
      <c r="M122" s="31">
        <f t="shared" si="29"/>
        <v>0.22835600744526666</v>
      </c>
      <c r="N122" s="31">
        <f t="shared" si="29"/>
        <v>0.21249743347740546</v>
      </c>
      <c r="O122" s="31">
        <f t="shared" si="29"/>
        <v>0.11852792174899456</v>
      </c>
      <c r="P122" s="31">
        <f t="shared" si="29"/>
        <v>0.23529928504624475</v>
      </c>
      <c r="Q122" s="31">
        <f t="shared" si="29"/>
        <v>0.31802148939570146</v>
      </c>
      <c r="R122" s="31">
        <f t="shared" si="29"/>
        <v>0.36384201426357166</v>
      </c>
      <c r="S122" s="31">
        <f t="shared" si="29"/>
        <v>0.38968571531726764</v>
      </c>
      <c r="T122" s="31">
        <f t="shared" si="29"/>
        <v>0.25649966386951867</v>
      </c>
      <c r="U122" s="31">
        <f t="shared" si="29"/>
        <v>0.44125435667312951</v>
      </c>
      <c r="V122" s="31">
        <f t="shared" si="29"/>
        <v>0.52632476213584234</v>
      </c>
      <c r="W122" s="31">
        <f t="shared" si="29"/>
        <v>0.25196236721682608</v>
      </c>
      <c r="X122" s="31">
        <f t="shared" si="29"/>
        <v>0.36469599433045546</v>
      </c>
      <c r="Y122" s="31">
        <f t="shared" si="29"/>
        <v>0.52191935800332401</v>
      </c>
      <c r="Z122" s="31">
        <f t="shared" si="29"/>
        <v>0.12736155911881192</v>
      </c>
      <c r="AA122" s="31">
        <f t="shared" si="29"/>
        <v>0.45593696576986226</v>
      </c>
      <c r="AB122" s="31">
        <f t="shared" si="29"/>
        <v>0.12617008859629308</v>
      </c>
      <c r="AC122" s="31">
        <f t="shared" si="29"/>
        <v>0.32821902135676229</v>
      </c>
      <c r="AD122" s="31">
        <f t="shared" si="29"/>
        <v>6.973698433660766E-2</v>
      </c>
      <c r="AE122" s="31">
        <f t="shared" si="29"/>
        <v>0.41446658809633813</v>
      </c>
      <c r="AF122" s="31">
        <f t="shared" si="29"/>
        <v>8.5475034919894818E-2</v>
      </c>
      <c r="AG122" s="31">
        <f t="shared" si="29"/>
        <v>7.995802480711392E-2</v>
      </c>
      <c r="AH122" s="31">
        <f t="shared" si="29"/>
        <v>0.37366444499282997</v>
      </c>
      <c r="AI122" s="31">
        <f t="shared" si="29"/>
        <v>0.39727709962140328</v>
      </c>
      <c r="AJ122" s="31">
        <f t="shared" si="29"/>
        <v>0.19005628089180179</v>
      </c>
      <c r="AK122" s="31">
        <f t="shared" si="29"/>
        <v>0.56914856041585005</v>
      </c>
      <c r="AL122" s="31">
        <f t="shared" si="29"/>
        <v>0.44874572359282072</v>
      </c>
      <c r="AM122" s="31">
        <f t="shared" si="29"/>
        <v>0.47151048354081326</v>
      </c>
      <c r="AN122" s="31">
        <f t="shared" si="29"/>
        <v>0.34002074042052655</v>
      </c>
      <c r="AO122" s="31">
        <f t="shared" si="29"/>
        <v>0.56995472633317834</v>
      </c>
      <c r="AP122" s="31">
        <f t="shared" si="29"/>
        <v>0.41313881670657276</v>
      </c>
      <c r="AQ122" s="31">
        <f t="shared" si="29"/>
        <v>0.45615318371512353</v>
      </c>
      <c r="AR122" s="31">
        <f t="shared" si="29"/>
        <v>0.31843583764838473</v>
      </c>
      <c r="AS122" s="31">
        <f t="shared" si="29"/>
        <v>0.21647531154729638</v>
      </c>
      <c r="AT122" s="31">
        <f t="shared" si="29"/>
        <v>0.24704178679516636</v>
      </c>
      <c r="AU122" s="31">
        <f t="shared" si="29"/>
        <v>0.5968544919844363</v>
      </c>
      <c r="AV122" s="31">
        <f t="shared" si="29"/>
        <v>0.23651123758084722</v>
      </c>
      <c r="AW122" s="31">
        <f t="shared" si="29"/>
        <v>0.18554413344974874</v>
      </c>
      <c r="AX122" s="31">
        <f t="shared" si="29"/>
        <v>0.17660357489044065</v>
      </c>
      <c r="AY122" s="31">
        <f t="shared" si="29"/>
        <v>0.32994702238903006</v>
      </c>
      <c r="AZ122" s="31">
        <f t="shared" si="29"/>
        <v>0.27465490987856772</v>
      </c>
      <c r="BA122" s="31">
        <f t="shared" si="29"/>
        <v>0.27521982094438197</v>
      </c>
      <c r="BB122" s="31">
        <f t="shared" si="29"/>
        <v>0.42670006866061039</v>
      </c>
      <c r="BC122" s="31">
        <f t="shared" si="29"/>
        <v>0.46423567705181845</v>
      </c>
      <c r="BD122" s="31">
        <f t="shared" si="29"/>
        <v>0.21660288366995678</v>
      </c>
      <c r="BE122" s="31">
        <f t="shared" si="29"/>
        <v>0.17352286953876267</v>
      </c>
      <c r="BF122" s="31">
        <f t="shared" si="29"/>
        <v>0.19021369095146934</v>
      </c>
      <c r="BG122" s="31">
        <f t="shared" si="29"/>
        <v>6.5585210514814613E-2</v>
      </c>
      <c r="BH122" s="31">
        <f t="shared" si="29"/>
        <v>0.24180845775417895</v>
      </c>
      <c r="BI122" s="31">
        <f t="shared" si="29"/>
        <v>0.14387810776102231</v>
      </c>
      <c r="BJ122" s="31">
        <f t="shared" si="24"/>
        <v>0.17399056279866251</v>
      </c>
      <c r="BK122" s="31">
        <f t="shared" si="24"/>
        <v>0.19644297454640583</v>
      </c>
      <c r="BL122" s="31">
        <f t="shared" si="24"/>
        <v>0.2898223075910511</v>
      </c>
      <c r="BM122" s="31">
        <f t="shared" si="24"/>
        <v>0.29647980879258612</v>
      </c>
      <c r="BN122" s="31">
        <f t="shared" si="24"/>
        <v>0.24276675117709898</v>
      </c>
      <c r="BO122" s="31">
        <f t="shared" si="24"/>
        <v>0.10614463643822179</v>
      </c>
      <c r="BP122" s="1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</row>
    <row r="123" spans="1:100" customFormat="1">
      <c r="A123" s="20" t="s">
        <v>20</v>
      </c>
      <c r="B123" s="21" t="s">
        <v>15</v>
      </c>
      <c r="C123" s="31">
        <f t="shared" si="29"/>
        <v>0.88186710119458411</v>
      </c>
      <c r="D123" s="31">
        <f t="shared" si="29"/>
        <v>0.73086255763885755</v>
      </c>
      <c r="E123" s="31">
        <f t="shared" si="29"/>
        <v>0.74433207461215156</v>
      </c>
      <c r="F123" s="31">
        <f t="shared" si="29"/>
        <v>0.30840933248004909</v>
      </c>
      <c r="G123" s="31">
        <f t="shared" si="29"/>
        <v>0.74484242480916429</v>
      </c>
      <c r="H123" s="31">
        <f t="shared" si="29"/>
        <v>0.68112595814200616</v>
      </c>
      <c r="I123" s="31">
        <f t="shared" si="29"/>
        <v>0.56125070677575073</v>
      </c>
      <c r="J123" s="31">
        <f t="shared" si="29"/>
        <v>0.48148310066355954</v>
      </c>
      <c r="K123" s="31">
        <f t="shared" si="29"/>
        <v>0.4981564786240727</v>
      </c>
      <c r="L123" s="31">
        <f t="shared" si="29"/>
        <v>0.32407712539981437</v>
      </c>
      <c r="M123" s="31">
        <f t="shared" si="29"/>
        <v>0.15488146963473604</v>
      </c>
      <c r="N123" s="31">
        <f t="shared" si="29"/>
        <v>9.6589654076681755E-2</v>
      </c>
      <c r="O123" s="31">
        <f t="shared" si="29"/>
        <v>7.6241802597272104E-2</v>
      </c>
      <c r="P123" s="31">
        <f t="shared" si="29"/>
        <v>0.19929910894171543</v>
      </c>
      <c r="Q123" s="31">
        <f t="shared" si="29"/>
        <v>0.274693016826902</v>
      </c>
      <c r="R123" s="31">
        <f t="shared" si="29"/>
        <v>0.4421298133699752</v>
      </c>
      <c r="S123" s="31">
        <f t="shared" si="29"/>
        <v>0.63597702529858657</v>
      </c>
      <c r="T123" s="31">
        <f t="shared" si="29"/>
        <v>0.18449057713515879</v>
      </c>
      <c r="U123" s="31">
        <f t="shared" si="29"/>
        <v>0.52147765503120869</v>
      </c>
      <c r="V123" s="31">
        <f t="shared" si="29"/>
        <v>0.8115177634374946</v>
      </c>
      <c r="W123" s="31">
        <f t="shared" si="29"/>
        <v>0.1868998050415642</v>
      </c>
      <c r="X123" s="31">
        <f t="shared" si="29"/>
        <v>0.31698122535947432</v>
      </c>
      <c r="Y123" s="31">
        <f t="shared" si="29"/>
        <v>0.46508420915395843</v>
      </c>
      <c r="Z123" s="31">
        <f t="shared" si="29"/>
        <v>9.6518714684405107E-2</v>
      </c>
      <c r="AA123" s="31">
        <f t="shared" si="29"/>
        <v>0.39329052224513089</v>
      </c>
      <c r="AB123" s="31">
        <f t="shared" si="29"/>
        <v>6.3372554691645114E-2</v>
      </c>
      <c r="AC123" s="31">
        <f t="shared" si="29"/>
        <v>0.27679466135260766</v>
      </c>
      <c r="AD123" s="31">
        <f t="shared" si="29"/>
        <v>4.5143343429659928E-2</v>
      </c>
      <c r="AE123" s="31">
        <f t="shared" si="29"/>
        <v>0.37388600874987471</v>
      </c>
      <c r="AF123" s="31">
        <f t="shared" si="29"/>
        <v>4.6132285273247343E-2</v>
      </c>
      <c r="AG123" s="31">
        <f t="shared" si="29"/>
        <v>5.5770853372977429E-2</v>
      </c>
      <c r="AH123" s="31">
        <f t="shared" si="29"/>
        <v>0.21302935873349305</v>
      </c>
      <c r="AI123" s="31">
        <f t="shared" si="29"/>
        <v>0.34657976280070368</v>
      </c>
      <c r="AJ123" s="31">
        <f t="shared" si="29"/>
        <v>9.705886645905086E-2</v>
      </c>
      <c r="AK123" s="31">
        <f t="shared" si="29"/>
        <v>0.45357114301509099</v>
      </c>
      <c r="AL123" s="31">
        <f t="shared" si="29"/>
        <v>0.35307801447887815</v>
      </c>
      <c r="AM123" s="31">
        <f t="shared" si="29"/>
        <v>0.35141121882752224</v>
      </c>
      <c r="AN123" s="31">
        <f t="shared" si="29"/>
        <v>0.15943211777011435</v>
      </c>
      <c r="AO123" s="31">
        <f t="shared" si="29"/>
        <v>0.4398037206092042</v>
      </c>
      <c r="AP123" s="31">
        <f t="shared" si="29"/>
        <v>0.67536582980316684</v>
      </c>
      <c r="AQ123" s="31">
        <f t="shared" si="29"/>
        <v>0.3633101843147778</v>
      </c>
      <c r="AR123" s="31">
        <f t="shared" si="29"/>
        <v>0.29386246032157637</v>
      </c>
      <c r="AS123" s="31">
        <f t="shared" si="29"/>
        <v>0.19431536682429412</v>
      </c>
      <c r="AT123" s="31">
        <f t="shared" si="29"/>
        <v>0.19389303533497457</v>
      </c>
      <c r="AU123" s="31">
        <f t="shared" si="29"/>
        <v>0.36958558855619433</v>
      </c>
      <c r="AV123" s="31">
        <f t="shared" si="29"/>
        <v>8.1042693439342964E-2</v>
      </c>
      <c r="AW123" s="31">
        <f t="shared" si="29"/>
        <v>0.1817279884131042</v>
      </c>
      <c r="AX123" s="31">
        <f t="shared" si="29"/>
        <v>0.16159366435967668</v>
      </c>
      <c r="AY123" s="31">
        <f t="shared" si="29"/>
        <v>0.20239019023708085</v>
      </c>
      <c r="AZ123" s="31">
        <f t="shared" si="29"/>
        <v>0.26397484592074039</v>
      </c>
      <c r="BA123" s="31">
        <f t="shared" si="29"/>
        <v>0.26546431426010053</v>
      </c>
      <c r="BB123" s="31">
        <f t="shared" si="29"/>
        <v>0.43597559891035526</v>
      </c>
      <c r="BC123" s="31">
        <f t="shared" si="29"/>
        <v>0.37282100421622238</v>
      </c>
      <c r="BD123" s="31">
        <f t="shared" si="29"/>
        <v>0.18717112700189706</v>
      </c>
      <c r="BE123" s="31">
        <f t="shared" si="29"/>
        <v>0.18414753920689336</v>
      </c>
      <c r="BF123" s="31">
        <f t="shared" si="29"/>
        <v>0.19378793425075724</v>
      </c>
      <c r="BG123" s="31">
        <f t="shared" si="29"/>
        <v>6.2784439902154515E-2</v>
      </c>
      <c r="BH123" s="31">
        <f t="shared" si="29"/>
        <v>0.210179930907368</v>
      </c>
      <c r="BI123" s="31">
        <f t="shared" si="29"/>
        <v>0.10103705909419892</v>
      </c>
      <c r="BJ123" s="31">
        <f t="shared" ref="BJ123:BO123" si="30">BJ84/BJ103</f>
        <v>0.16001255740760004</v>
      </c>
      <c r="BK123" s="31">
        <f t="shared" si="30"/>
        <v>0.16545690031278704</v>
      </c>
      <c r="BL123" s="31">
        <f t="shared" si="30"/>
        <v>0.1994972262125479</v>
      </c>
      <c r="BM123" s="31">
        <f t="shared" si="30"/>
        <v>0.19655966265170899</v>
      </c>
      <c r="BN123" s="31">
        <f t="shared" si="30"/>
        <v>0.16828055382585907</v>
      </c>
      <c r="BO123" s="31">
        <f t="shared" si="30"/>
        <v>6.8629541146394718E-2</v>
      </c>
      <c r="BP123" s="1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</row>
    <row r="124" spans="1:100" customFormat="1">
      <c r="C124" s="31"/>
      <c r="D124" s="31"/>
      <c r="E124" s="31"/>
      <c r="F124" s="31"/>
      <c r="G124" s="31"/>
      <c r="H124" s="31"/>
      <c r="I124" s="31"/>
      <c r="J124" s="31"/>
      <c r="K124" s="31"/>
      <c r="L124" s="32"/>
      <c r="M124" s="32"/>
      <c r="N124" s="32"/>
      <c r="O124" s="33"/>
      <c r="P124" s="34"/>
      <c r="Q124" s="34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</row>
    <row r="125" spans="1:100" customFormat="1">
      <c r="B125" s="21" t="s">
        <v>22</v>
      </c>
      <c r="C125" s="31">
        <f t="shared" ref="C125:BI125" si="31">C67/C105</f>
        <v>0.72110537765525207</v>
      </c>
      <c r="D125" s="31">
        <f t="shared" si="31"/>
        <v>0.54792140617381646</v>
      </c>
      <c r="E125" s="31">
        <f t="shared" si="31"/>
        <v>0.54363257877697568</v>
      </c>
      <c r="F125" s="31">
        <f t="shared" si="31"/>
        <v>0.27903936439794674</v>
      </c>
      <c r="G125" s="31">
        <f t="shared" si="31"/>
        <v>0.50177374751420323</v>
      </c>
      <c r="H125" s="31">
        <f t="shared" si="31"/>
        <v>0.5003133740665574</v>
      </c>
      <c r="I125" s="31">
        <f t="shared" si="31"/>
        <v>0.51024444906976585</v>
      </c>
      <c r="J125" s="31">
        <f t="shared" si="31"/>
        <v>0.37962048968068912</v>
      </c>
      <c r="K125" s="31">
        <f t="shared" si="31"/>
        <v>0.28463957327267625</v>
      </c>
      <c r="L125" s="31">
        <f t="shared" si="31"/>
        <v>0.33834111129193489</v>
      </c>
      <c r="M125" s="31">
        <f t="shared" si="31"/>
        <v>0.13507907963344867</v>
      </c>
      <c r="N125" s="31">
        <f t="shared" si="31"/>
        <v>9.6599992597431253E-2</v>
      </c>
      <c r="O125" s="31">
        <f t="shared" si="31"/>
        <v>6.2835579336487604E-2</v>
      </c>
      <c r="P125" s="31">
        <f t="shared" si="31"/>
        <v>0.18502331099627492</v>
      </c>
      <c r="Q125" s="31">
        <f t="shared" si="31"/>
        <v>0.29922173309714228</v>
      </c>
      <c r="R125" s="31">
        <f t="shared" si="31"/>
        <v>0.38026266278217141</v>
      </c>
      <c r="S125" s="31">
        <f t="shared" si="31"/>
        <v>0.41945319493295496</v>
      </c>
      <c r="T125" s="31">
        <f t="shared" si="31"/>
        <v>0.17986378403342412</v>
      </c>
      <c r="U125" s="31">
        <f t="shared" si="31"/>
        <v>0.50160433337387966</v>
      </c>
      <c r="V125" s="31">
        <f t="shared" si="31"/>
        <v>0.61762947577146443</v>
      </c>
      <c r="W125" s="31">
        <f t="shared" si="31"/>
        <v>0.2358703434469184</v>
      </c>
      <c r="X125" s="31">
        <f t="shared" si="31"/>
        <v>0.40006923679527367</v>
      </c>
      <c r="Y125" s="31">
        <f t="shared" si="31"/>
        <v>0.53491442750072338</v>
      </c>
      <c r="Z125" s="31">
        <f t="shared" si="31"/>
        <v>0.10801303630930906</v>
      </c>
      <c r="AA125" s="31">
        <f t="shared" si="31"/>
        <v>0.45885031943195648</v>
      </c>
      <c r="AB125" s="31">
        <f t="shared" si="31"/>
        <v>9.6344156654977101E-2</v>
      </c>
      <c r="AC125" s="31">
        <f t="shared" si="31"/>
        <v>0.34454774997663262</v>
      </c>
      <c r="AD125" s="31">
        <f t="shared" si="31"/>
        <v>0.11536261958663166</v>
      </c>
      <c r="AE125" s="31">
        <f t="shared" si="31"/>
        <v>0.50807934240343777</v>
      </c>
      <c r="AF125" s="31">
        <f t="shared" si="31"/>
        <v>0.18147839177284858</v>
      </c>
      <c r="AG125" s="31">
        <f t="shared" si="31"/>
        <v>0.16614977685402307</v>
      </c>
      <c r="AH125" s="31">
        <f t="shared" si="31"/>
        <v>0.3992439456583588</v>
      </c>
      <c r="AI125" s="31">
        <f t="shared" si="31"/>
        <v>0.46840763369603361</v>
      </c>
      <c r="AJ125" s="31">
        <f t="shared" si="31"/>
        <v>0.33941132633820442</v>
      </c>
      <c r="AK125" s="31">
        <f t="shared" si="31"/>
        <v>0.5244837691869515</v>
      </c>
      <c r="AL125" s="31">
        <f t="shared" si="31"/>
        <v>0.47677197582087355</v>
      </c>
      <c r="AM125" s="31">
        <f t="shared" si="31"/>
        <v>0.53329544202680912</v>
      </c>
      <c r="AN125" s="31">
        <f t="shared" si="31"/>
        <v>0.43700057964187822</v>
      </c>
      <c r="AO125" s="31">
        <f t="shared" si="31"/>
        <v>0.5933460749026731</v>
      </c>
      <c r="AP125" s="31">
        <f t="shared" si="31"/>
        <v>0.54667830338499646</v>
      </c>
      <c r="AQ125" s="31">
        <f t="shared" si="31"/>
        <v>0.54243451330656767</v>
      </c>
      <c r="AR125" s="31">
        <f t="shared" si="31"/>
        <v>0.31065390818795963</v>
      </c>
      <c r="AS125" s="31">
        <f t="shared" si="31"/>
        <v>0.18926948291709694</v>
      </c>
      <c r="AT125" s="31">
        <f t="shared" si="31"/>
        <v>0.16715623342507899</v>
      </c>
      <c r="AU125" s="31">
        <f t="shared" si="31"/>
        <v>0.57708893376681236</v>
      </c>
      <c r="AV125" s="31">
        <f t="shared" si="31"/>
        <v>0.1635965662500406</v>
      </c>
      <c r="AW125" s="31">
        <f t="shared" si="31"/>
        <v>0.19563001330075044</v>
      </c>
      <c r="AX125" s="31">
        <f t="shared" si="31"/>
        <v>0.19926129810398843</v>
      </c>
      <c r="AY125" s="31">
        <f t="shared" si="31"/>
        <v>0.40393673561271148</v>
      </c>
      <c r="AZ125" s="31">
        <f t="shared" si="31"/>
        <v>0.30102171330977739</v>
      </c>
      <c r="BA125" s="31">
        <f t="shared" si="31"/>
        <v>0.32248113738314094</v>
      </c>
      <c r="BB125" s="31">
        <f t="shared" si="31"/>
        <v>0.42779188088942549</v>
      </c>
      <c r="BC125" s="31">
        <f t="shared" si="31"/>
        <v>0.40773017706728826</v>
      </c>
      <c r="BD125" s="31">
        <f t="shared" si="31"/>
        <v>0.23484694891516808</v>
      </c>
      <c r="BE125" s="31">
        <f t="shared" si="31"/>
        <v>0.18455716971639261</v>
      </c>
      <c r="BF125" s="31">
        <f t="shared" si="31"/>
        <v>0.22094324529763718</v>
      </c>
      <c r="BG125" s="31">
        <f t="shared" si="31"/>
        <v>6.5192665004646655E-2</v>
      </c>
      <c r="BH125" s="31">
        <f t="shared" si="31"/>
        <v>0.42025064014592717</v>
      </c>
      <c r="BI125" s="31">
        <f t="shared" si="31"/>
        <v>0.18543332535258242</v>
      </c>
      <c r="BJ125" s="31">
        <f>BJ67/BJ105</f>
        <v>0.18698743508894347</v>
      </c>
      <c r="BK125" s="31">
        <f t="shared" ref="BK125:BO125" si="32">BK67/BK105</f>
        <v>0.21675252472767223</v>
      </c>
      <c r="BL125" s="31">
        <f t="shared" si="32"/>
        <v>0.36962812026285963</v>
      </c>
      <c r="BM125" s="31">
        <f t="shared" si="32"/>
        <v>0.37923876894452019</v>
      </c>
      <c r="BN125" s="31">
        <f t="shared" si="32"/>
        <v>0.390097218802475</v>
      </c>
      <c r="BO125" s="31">
        <f t="shared" si="32"/>
        <v>0.2017785891506054</v>
      </c>
      <c r="BP125" s="1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</row>
    <row r="126" spans="1:100" customFormat="1">
      <c r="L126" s="8"/>
      <c r="M126" s="15"/>
      <c r="N126" s="15"/>
      <c r="O126" s="16"/>
      <c r="P126" s="9"/>
      <c r="Q126" s="9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</row>
    <row r="127" spans="1:100" customFormat="1">
      <c r="L127" s="8"/>
      <c r="M127" s="15"/>
      <c r="N127" s="15"/>
      <c r="O127" s="16"/>
      <c r="P127" s="9"/>
      <c r="Q127" s="9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</row>
    <row r="128" spans="1:100" customFormat="1">
      <c r="L128" s="8"/>
      <c r="M128" s="15"/>
      <c r="N128" s="15"/>
      <c r="O128" s="16"/>
      <c r="P128" s="9"/>
      <c r="Q128" s="9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</row>
    <row r="129" spans="12:100" customFormat="1">
      <c r="L129" s="27"/>
      <c r="M129" s="15"/>
      <c r="N129" s="15"/>
      <c r="O129" s="16"/>
      <c r="P129" s="9"/>
      <c r="Q129" s="9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</row>
    <row r="130" spans="12:100" customFormat="1">
      <c r="L130" s="27"/>
      <c r="M130" s="15"/>
      <c r="N130" s="15"/>
      <c r="O130" s="16"/>
      <c r="P130" s="9"/>
      <c r="Q130" s="9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</row>
    <row r="131" spans="12:100" customFormat="1">
      <c r="L131" s="27"/>
      <c r="M131" s="15"/>
      <c r="N131" s="15"/>
      <c r="O131" s="16"/>
      <c r="P131" s="9"/>
      <c r="Q131" s="9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</row>
    <row r="132" spans="12:100" customFormat="1">
      <c r="L132" s="27"/>
      <c r="M132" s="15"/>
      <c r="N132" s="15"/>
      <c r="O132" s="16"/>
      <c r="P132" s="9"/>
      <c r="Q132" s="9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</row>
    <row r="133" spans="12:100" customFormat="1">
      <c r="L133" s="27"/>
      <c r="M133" s="15"/>
      <c r="N133" s="15"/>
      <c r="O133" s="16"/>
      <c r="P133" s="9"/>
      <c r="Q133" s="9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</row>
    <row r="134" spans="12:100" customFormat="1">
      <c r="L134" s="27"/>
      <c r="M134" s="15"/>
      <c r="N134" s="15"/>
      <c r="O134" s="16"/>
      <c r="P134" s="9"/>
      <c r="Q134" s="9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</row>
    <row r="135" spans="12:100" customFormat="1">
      <c r="L135" s="27"/>
      <c r="M135" s="15"/>
      <c r="N135" s="15"/>
      <c r="O135" s="16"/>
      <c r="P135" s="9"/>
      <c r="Q135" s="9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</row>
    <row r="136" spans="12:100" customFormat="1">
      <c r="L136" s="27"/>
      <c r="M136" s="15"/>
      <c r="N136" s="15"/>
      <c r="O136" s="16"/>
      <c r="P136" s="9"/>
      <c r="Q136" s="9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</row>
    <row r="137" spans="12:100" customFormat="1">
      <c r="L137" s="27"/>
      <c r="M137" s="15"/>
      <c r="N137" s="15"/>
      <c r="O137" s="16"/>
      <c r="P137" s="9"/>
      <c r="Q137" s="9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</row>
    <row r="138" spans="12:100" customFormat="1">
      <c r="L138" s="27"/>
      <c r="M138" s="15"/>
      <c r="N138" s="15"/>
      <c r="O138" s="16"/>
      <c r="P138" s="9"/>
      <c r="Q138" s="9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</row>
    <row r="139" spans="12:100" customFormat="1">
      <c r="L139" s="28"/>
      <c r="M139" s="15"/>
      <c r="N139" s="15"/>
      <c r="O139" s="16"/>
      <c r="P139" s="9"/>
      <c r="Q139" s="9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</row>
    <row r="140" spans="12:100" customFormat="1">
      <c r="L140" s="28"/>
      <c r="M140" s="15"/>
      <c r="N140" s="15"/>
      <c r="O140" s="16"/>
      <c r="P140" s="9"/>
      <c r="Q140" s="9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</row>
    <row r="141" spans="12:100" customFormat="1">
      <c r="L141" s="28"/>
      <c r="M141" s="15"/>
      <c r="N141" s="15"/>
      <c r="O141" s="16"/>
      <c r="P141" s="9"/>
      <c r="Q141" s="9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</row>
    <row r="142" spans="12:100" customFormat="1">
      <c r="L142" s="28"/>
      <c r="M142" s="15"/>
      <c r="N142" s="15"/>
      <c r="O142" s="16"/>
      <c r="P142" s="9"/>
      <c r="Q142" s="9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</row>
    <row r="143" spans="12:100" customFormat="1">
      <c r="L143" s="28"/>
      <c r="M143" s="15"/>
      <c r="N143" s="15"/>
      <c r="O143" s="16"/>
      <c r="P143" s="9"/>
      <c r="Q143" s="9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</row>
    <row r="144" spans="12:100" customFormat="1">
      <c r="L144" s="28"/>
      <c r="M144" s="15"/>
      <c r="N144" s="15"/>
      <c r="O144" s="16"/>
      <c r="P144" s="9"/>
      <c r="Q144" s="9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</row>
    <row r="145" spans="12:100" customFormat="1">
      <c r="L145" s="28"/>
      <c r="M145" s="15"/>
      <c r="N145" s="15"/>
      <c r="O145" s="16"/>
      <c r="P145" s="9"/>
      <c r="Q145" s="9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</row>
    <row r="146" spans="12:100" customFormat="1">
      <c r="L146" s="28"/>
      <c r="M146" s="15"/>
      <c r="N146" s="15"/>
      <c r="O146" s="16"/>
      <c r="P146" s="9"/>
      <c r="Q146" s="9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</row>
    <row r="147" spans="12:100" customFormat="1">
      <c r="L147" s="28"/>
      <c r="M147" s="15"/>
      <c r="N147" s="15"/>
      <c r="O147" s="16"/>
      <c r="P147" s="9"/>
      <c r="Q147" s="9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</row>
    <row r="148" spans="12:100" customFormat="1">
      <c r="L148" s="28"/>
      <c r="M148" s="15"/>
      <c r="N148" s="15"/>
      <c r="O148" s="16"/>
      <c r="P148" s="9"/>
      <c r="Q148" s="9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</row>
    <row r="149" spans="12:100" customFormat="1">
      <c r="L149" s="9"/>
      <c r="M149" s="9"/>
      <c r="N149" s="9"/>
      <c r="O149" s="9"/>
      <c r="P149" s="9"/>
      <c r="Q149" s="9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</row>
    <row r="150" spans="12:100" customFormat="1">
      <c r="L150" s="9"/>
      <c r="M150" s="9"/>
      <c r="N150" s="9"/>
      <c r="O150" s="9"/>
      <c r="P150" s="9"/>
      <c r="Q150" s="9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</row>
    <row r="151" spans="12:100" customFormat="1">
      <c r="L151" s="9"/>
      <c r="M151" s="9"/>
      <c r="N151" s="9"/>
      <c r="O151" s="9"/>
      <c r="P151" s="9"/>
      <c r="Q151" s="9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</row>
    <row r="152" spans="12:100" customFormat="1">
      <c r="L152" s="9"/>
      <c r="M152" s="9"/>
      <c r="N152" s="9"/>
      <c r="O152" s="9"/>
      <c r="P152" s="9"/>
      <c r="Q152" s="9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</row>
    <row r="153" spans="12:100" customFormat="1">
      <c r="L153" s="9"/>
      <c r="M153" s="9"/>
      <c r="N153" s="9"/>
      <c r="O153" s="9"/>
      <c r="P153" s="9"/>
      <c r="Q153" s="9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</row>
    <row r="154" spans="12:100" customFormat="1">
      <c r="L154" s="9"/>
      <c r="M154" s="9"/>
      <c r="N154" s="9"/>
      <c r="O154" s="9"/>
      <c r="P154" s="9"/>
      <c r="Q154" s="9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</row>
    <row r="155" spans="12:100" customFormat="1">
      <c r="L155" s="9"/>
      <c r="M155" s="9"/>
      <c r="N155" s="9"/>
      <c r="O155" s="9"/>
      <c r="P155" s="9"/>
      <c r="Q155" s="9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</row>
    <row r="156" spans="12:100" customFormat="1">
      <c r="L156" s="9"/>
      <c r="M156" s="9"/>
      <c r="N156" s="9"/>
      <c r="O156" s="9"/>
      <c r="P156" s="9"/>
      <c r="Q156" s="9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</row>
    <row r="157" spans="12:100" customFormat="1">
      <c r="L157" s="9"/>
      <c r="M157" s="9"/>
      <c r="N157" s="9"/>
      <c r="O157" s="9"/>
      <c r="P157" s="9"/>
      <c r="Q157" s="9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</row>
    <row r="158" spans="12:100" customFormat="1">
      <c r="L158" s="9"/>
      <c r="M158" s="9"/>
      <c r="N158" s="9"/>
      <c r="O158" s="9"/>
      <c r="P158" s="9"/>
      <c r="Q158" s="9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</row>
    <row r="159" spans="12:100" customFormat="1">
      <c r="L159" s="9"/>
      <c r="M159" s="9"/>
      <c r="N159" s="9"/>
      <c r="O159" s="9"/>
      <c r="P159" s="9"/>
      <c r="Q159" s="9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</row>
    <row r="160" spans="12:100" customFormat="1">
      <c r="L160" s="9"/>
      <c r="M160" s="9"/>
      <c r="N160" s="9"/>
      <c r="O160" s="9"/>
      <c r="P160" s="9"/>
      <c r="Q160" s="9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</row>
    <row r="161" spans="12:100" customFormat="1">
      <c r="L161" s="9"/>
      <c r="M161" s="9"/>
      <c r="N161" s="9"/>
      <c r="O161" s="9"/>
      <c r="P161" s="9"/>
      <c r="Q161" s="9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</row>
    <row r="162" spans="12:100" customFormat="1"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</row>
    <row r="163" spans="12:100" customFormat="1"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</row>
    <row r="164" spans="12:100" customFormat="1"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</row>
    <row r="165" spans="12:100" customFormat="1"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</row>
    <row r="166" spans="12:100" customFormat="1"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</row>
    <row r="167" spans="12:100" customFormat="1"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</row>
    <row r="168" spans="12:100" customFormat="1"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</row>
    <row r="169" spans="12:100" customFormat="1"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</row>
    <row r="170" spans="12:100" customFormat="1"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</row>
    <row r="171" spans="12:100" customFormat="1"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</row>
    <row r="172" spans="12:100" customFormat="1"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</row>
    <row r="173" spans="12:100" customFormat="1"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</row>
    <row r="174" spans="12:100" customFormat="1"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</row>
    <row r="175" spans="12:100" customFormat="1"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</row>
    <row r="176" spans="12:100" customFormat="1"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</row>
    <row r="177" spans="69:100" customFormat="1"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</row>
    <row r="178" spans="69:100" customFormat="1"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</row>
    <row r="179" spans="69:100" customFormat="1"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</row>
    <row r="180" spans="69:100" customFormat="1"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</row>
    <row r="181" spans="69:100" customFormat="1"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</row>
    <row r="182" spans="69:100" customFormat="1"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</row>
    <row r="183" spans="69:100" customFormat="1"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</row>
    <row r="184" spans="69:100" customFormat="1"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</row>
    <row r="185" spans="69:100" customFormat="1"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</row>
    <row r="186" spans="69:100" customFormat="1"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</row>
    <row r="187" spans="69:100" customFormat="1"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</row>
    <row r="188" spans="69:100" customFormat="1"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</row>
    <row r="189" spans="69:100" customFormat="1"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</row>
    <row r="190" spans="69:100" customFormat="1"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</row>
    <row r="191" spans="69:100" customFormat="1"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</row>
    <row r="192" spans="69:100" customFormat="1"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</row>
    <row r="193" spans="69:100" customFormat="1"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</row>
  </sheetData>
  <pageMargins left="0.7" right="0.7" top="0.75" bottom="0.75" header="0.3" footer="0.3"/>
  <pageSetup orientation="portrait" verticalDpi="0" r:id="rId1"/>
  <ignoredErrors>
    <ignoredError sqref="M35:BO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Reconstruction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Van Will</dc:creator>
  <cp:lastModifiedBy>Pieter Van Will</cp:lastModifiedBy>
  <dcterms:created xsi:type="dcterms:W3CDTF">2020-09-29T22:33:11Z</dcterms:created>
  <dcterms:modified xsi:type="dcterms:W3CDTF">2020-09-29T22:53:33Z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2020-09-29T22:48:37Z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cf9d639e-bd5d-4907-a42e-000039c5f1ee</vt:lpwstr>
  </property>
</Properties>
</file>